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tables/table1.xml" ContentType="application/vnd.openxmlformats-officedocument.spreadsheetml.table+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202300"/>
  <mc:AlternateContent xmlns:mc="http://schemas.openxmlformats.org/markup-compatibility/2006">
    <mc:Choice Requires="x15">
      <x15ac:absPath xmlns:x15ac="http://schemas.microsoft.com/office/spreadsheetml/2010/11/ac" url="https://d.docs.live.net/9a927a4fa5fe0acc/Documentos/2026/ORÇAMENTOS 2026/CUSTO DE OBRAS/OBRA RONMA REV02/"/>
    </mc:Choice>
  </mc:AlternateContent>
  <xr:revisionPtr revIDLastSave="26" documentId="8_{ACFAE6F3-ECDA-4377-B6C2-CF4B0AB2E670}" xr6:coauthVersionLast="47" xr6:coauthVersionMax="47" xr10:uidLastSave="{E2396ADA-52F3-45F5-80D7-A00C92EC136F}"/>
  <bookViews>
    <workbookView xWindow="28680" yWindow="-120" windowWidth="29040" windowHeight="15720" tabRatio="792" activeTab="2" xr2:uid="{C1EB2F3A-D51D-4AA8-9D93-FC4989BD4BBE}"/>
  </bookViews>
  <sheets>
    <sheet name="Terraplenagem" sheetId="7" r:id="rId1"/>
    <sheet name="Terraplenagem (2)" sheetId="8" r:id="rId2"/>
    <sheet name="Dados do Contrato  " sheetId="4" r:id="rId3"/>
    <sheet name="COMPOSIÇÃO DE PREÇO" sheetId="1" r:id="rId4"/>
    <sheet name="CUSTOS EQUIPAMENTOS" sheetId="5" r:id="rId5"/>
    <sheet name="Dados Transporte  (2)" sheetId="6" r:id="rId6"/>
    <sheet name="MÉDIA CONSUMO " sheetId="2" r:id="rId7"/>
  </sheets>
  <externalReferences>
    <externalReference r:id="rId8"/>
  </externalReferences>
  <definedNames>
    <definedName name="_xlnm.Print_Area" localSheetId="0">Terraplenagem!$A$1:$F$42</definedName>
    <definedName name="_xlnm.Print_Area" localSheetId="1">'Terraplenagem (2)'!$A$1:$F$44</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5" i="2" l="1"/>
  <c r="I20" i="8" l="1"/>
  <c r="H20" i="8"/>
  <c r="H10" i="8"/>
  <c r="H9" i="8"/>
  <c r="H18" i="8"/>
  <c r="H16" i="8"/>
  <c r="H14" i="8"/>
  <c r="H13" i="8"/>
  <c r="H12" i="8"/>
  <c r="F20" i="8" l="1"/>
  <c r="F19" i="8"/>
  <c r="F18" i="8"/>
  <c r="F16" i="8"/>
  <c r="F14" i="8"/>
  <c r="D13" i="8"/>
  <c r="F13" i="8" s="1"/>
  <c r="F12" i="8"/>
  <c r="F10" i="8"/>
  <c r="F9" i="8"/>
  <c r="F18" i="7"/>
  <c r="D25" i="8" l="1"/>
  <c r="G26" i="1"/>
  <c r="I12" i="1"/>
  <c r="G12" i="1"/>
  <c r="G17" i="6"/>
  <c r="F17" i="6"/>
  <c r="F19" i="6"/>
  <c r="C20" i="6"/>
  <c r="D24" i="8" l="1"/>
  <c r="F9" i="4"/>
  <c r="D12" i="7"/>
  <c r="F12" i="7" s="1"/>
  <c r="F17" i="7"/>
  <c r="F16" i="7"/>
  <c r="F14" i="7"/>
  <c r="F11" i="7"/>
  <c r="F9" i="7"/>
  <c r="D23" i="7" l="1"/>
  <c r="D22" i="7" l="1"/>
  <c r="J18" i="4" l="1"/>
  <c r="I18" i="4"/>
  <c r="H18" i="4"/>
  <c r="J11" i="1"/>
  <c r="B23" i="6" l="1"/>
  <c r="B25" i="6" s="1"/>
  <c r="H22" i="6"/>
  <c r="G22" i="6"/>
  <c r="E22" i="6"/>
  <c r="C22" i="6"/>
  <c r="G21" i="6"/>
  <c r="E21" i="6"/>
  <c r="C21" i="6"/>
  <c r="H20" i="6"/>
  <c r="G20" i="6"/>
  <c r="C18" i="6"/>
  <c r="D18" i="6" s="1"/>
  <c r="B13" i="4"/>
  <c r="D20" i="6" s="1"/>
  <c r="D7" i="4"/>
  <c r="C7" i="4" s="1"/>
  <c r="E23" i="6" l="1"/>
  <c r="C23" i="6"/>
  <c r="D22" i="6"/>
  <c r="D21" i="6"/>
  <c r="J37" i="4"/>
  <c r="I19" i="4"/>
  <c r="N18" i="4"/>
  <c r="N19" i="4"/>
  <c r="N20" i="4"/>
  <c r="N21" i="4"/>
  <c r="N22" i="4"/>
  <c r="N23" i="4"/>
  <c r="N24" i="4"/>
  <c r="N25" i="4"/>
  <c r="N26" i="4"/>
  <c r="N27" i="4"/>
  <c r="N28" i="4"/>
  <c r="N17" i="4"/>
  <c r="J10" i="1"/>
  <c r="K10" i="1" s="1"/>
  <c r="K11" i="1"/>
  <c r="J13" i="1"/>
  <c r="K13" i="1" s="1"/>
  <c r="D23" i="6" l="1"/>
  <c r="D24" i="6" s="1"/>
  <c r="N30" i="4"/>
  <c r="I20" i="4"/>
  <c r="I21" i="4"/>
  <c r="F10" i="2"/>
  <c r="G10" i="2" s="1"/>
  <c r="F9" i="2"/>
  <c r="G9" i="2" s="1"/>
  <c r="H9" i="2" s="1"/>
  <c r="C9" i="5" s="1"/>
  <c r="B5" i="5"/>
  <c r="B6" i="5"/>
  <c r="B7" i="5"/>
  <c r="B8" i="5"/>
  <c r="B9" i="5"/>
  <c r="B10" i="5"/>
  <c r="B21" i="5"/>
  <c r="B20" i="5"/>
  <c r="B19" i="5"/>
  <c r="B18" i="5"/>
  <c r="B17" i="5"/>
  <c r="B16" i="5"/>
  <c r="B15" i="5"/>
  <c r="B14" i="5"/>
  <c r="B13" i="5"/>
  <c r="B12" i="5"/>
  <c r="B11" i="5"/>
  <c r="I10" i="1"/>
  <c r="N10" i="1" s="1"/>
  <c r="I13" i="1"/>
  <c r="G23" i="6" l="1"/>
  <c r="G24" i="6" s="1"/>
  <c r="F24" i="6"/>
  <c r="F25" i="6" s="1"/>
  <c r="I23" i="4"/>
  <c r="E35" i="5"/>
  <c r="F26" i="5"/>
  <c r="F30" i="5"/>
  <c r="F27" i="5"/>
  <c r="F28" i="5"/>
  <c r="F29" i="5"/>
  <c r="F31" i="5"/>
  <c r="F32" i="5"/>
  <c r="F33" i="5"/>
  <c r="F34" i="5"/>
  <c r="D35" i="5"/>
  <c r="I33" i="5"/>
  <c r="C6" i="6"/>
  <c r="D6" i="6" s="1"/>
  <c r="E10" i="6"/>
  <c r="G8" i="6"/>
  <c r="H8" i="6"/>
  <c r="C9" i="6"/>
  <c r="E9" i="6"/>
  <c r="G9" i="6"/>
  <c r="C10" i="6"/>
  <c r="G10" i="6"/>
  <c r="H10" i="6"/>
  <c r="B27" i="6" s="1"/>
  <c r="B11" i="6"/>
  <c r="B13" i="6" s="1"/>
  <c r="C31" i="6"/>
  <c r="D31" i="6" s="1"/>
  <c r="H31" i="6"/>
  <c r="H32" i="6"/>
  <c r="I31" i="6" s="1"/>
  <c r="J32" i="6"/>
  <c r="D33" i="6"/>
  <c r="G33" i="6"/>
  <c r="J33" i="6"/>
  <c r="C34" i="6"/>
  <c r="G34" i="6"/>
  <c r="C35" i="6"/>
  <c r="D35" i="6"/>
  <c r="G35" i="6"/>
  <c r="B36" i="6"/>
  <c r="B38" i="6" s="1"/>
  <c r="B41" i="6"/>
  <c r="J12" i="1" l="1"/>
  <c r="K12" i="1" s="1"/>
  <c r="G21" i="4"/>
  <c r="G18" i="4"/>
  <c r="G19" i="4"/>
  <c r="G20" i="4"/>
  <c r="J34" i="6"/>
  <c r="J35" i="6" s="1"/>
  <c r="J36" i="6" s="1"/>
  <c r="C36" i="6"/>
  <c r="E36" i="6" s="1"/>
  <c r="E36" i="5"/>
  <c r="C11" i="6"/>
  <c r="F11" i="1" s="1"/>
  <c r="I11" i="1" s="1"/>
  <c r="G36" i="6"/>
  <c r="G37" i="6" s="1"/>
  <c r="E11" i="6"/>
  <c r="D34" i="6"/>
  <c r="D36" i="6" s="1"/>
  <c r="D37" i="6" s="1"/>
  <c r="B22" i="5"/>
  <c r="I20" i="5" s="1"/>
  <c r="E6" i="2"/>
  <c r="C6" i="5" s="1"/>
  <c r="E7" i="2"/>
  <c r="C7" i="5" s="1"/>
  <c r="E8" i="2"/>
  <c r="C8" i="5" s="1"/>
  <c r="E9" i="2"/>
  <c r="E10" i="2"/>
  <c r="C10" i="5" s="1"/>
  <c r="E11" i="2"/>
  <c r="C11" i="5" s="1"/>
  <c r="E12" i="2"/>
  <c r="C12" i="5" s="1"/>
  <c r="E13" i="2"/>
  <c r="C13" i="5" s="1"/>
  <c r="E14" i="2"/>
  <c r="C14" i="5" s="1"/>
  <c r="C5" i="5"/>
  <c r="C4" i="4"/>
  <c r="H4" i="4"/>
  <c r="C5" i="4"/>
  <c r="K5" i="4"/>
  <c r="C6" i="4"/>
  <c r="C8" i="4"/>
  <c r="B9" i="4"/>
  <c r="B18" i="4"/>
  <c r="B25" i="4" s="1"/>
  <c r="B20" i="4"/>
  <c r="B27" i="4" s="1"/>
  <c r="B21" i="4"/>
  <c r="B28" i="4" s="1"/>
  <c r="B32" i="4"/>
  <c r="B36" i="4" s="1"/>
  <c r="I30" i="5" l="1"/>
  <c r="H20" i="4"/>
  <c r="J20" i="4"/>
  <c r="H19" i="4"/>
  <c r="J19" i="4"/>
  <c r="H21" i="4"/>
  <c r="J21" i="4"/>
  <c r="G11" i="1"/>
  <c r="C18" i="4"/>
  <c r="C25" i="4" s="1"/>
  <c r="D10" i="6"/>
  <c r="D9" i="6"/>
  <c r="D8" i="6"/>
  <c r="C20" i="4"/>
  <c r="C21" i="4"/>
  <c r="C28" i="4" s="1"/>
  <c r="G13" i="1" l="1"/>
  <c r="H23" i="4"/>
  <c r="J23" i="4"/>
  <c r="J16" i="4" s="1"/>
  <c r="D7" i="5" s="1"/>
  <c r="N11" i="1"/>
  <c r="D11" i="6"/>
  <c r="C9" i="4"/>
  <c r="C27" i="4"/>
  <c r="F12" i="6" l="1"/>
  <c r="F13" i="6" s="1"/>
  <c r="G11" i="6"/>
  <c r="D11" i="5"/>
  <c r="B17" i="1" s="1"/>
  <c r="D8" i="5"/>
  <c r="D13" i="5"/>
  <c r="B21" i="1" s="1"/>
  <c r="D9" i="5"/>
  <c r="D6" i="5"/>
  <c r="D2" i="5" s="1"/>
  <c r="D10" i="5"/>
  <c r="D12" i="5"/>
  <c r="B18" i="1" s="1"/>
  <c r="D5" i="5"/>
  <c r="F7" i="4"/>
  <c r="D14" i="5"/>
  <c r="B19" i="1" s="1"/>
  <c r="D12" i="6"/>
  <c r="G12" i="6"/>
  <c r="G7" i="4" l="1"/>
  <c r="F10" i="4"/>
  <c r="F11" i="4" s="1"/>
  <c r="B16" i="1"/>
  <c r="B6" i="1"/>
  <c r="B9" i="1"/>
  <c r="D22" i="5"/>
  <c r="J8" i="5" l="1"/>
  <c r="F5" i="5"/>
  <c r="F14" i="5"/>
  <c r="C19" i="1" s="1"/>
  <c r="F7" i="5"/>
  <c r="J10" i="5"/>
  <c r="H19" i="5"/>
  <c r="F15" i="5"/>
  <c r="H12" i="5"/>
  <c r="D18" i="1" s="1"/>
  <c r="J5" i="5"/>
  <c r="H9" i="5"/>
  <c r="H14" i="5"/>
  <c r="D19" i="1" s="1"/>
  <c r="F17" i="5"/>
  <c r="J14" i="5"/>
  <c r="J20" i="5"/>
  <c r="F21" i="5"/>
  <c r="H17" i="5"/>
  <c r="F19" i="5"/>
  <c r="H11" i="5"/>
  <c r="D17" i="1" s="1"/>
  <c r="H6" i="5"/>
  <c r="H8" i="5"/>
  <c r="J21" i="5"/>
  <c r="H10" i="5"/>
  <c r="H20" i="5"/>
  <c r="J6" i="5"/>
  <c r="J16" i="5"/>
  <c r="B24" i="1"/>
  <c r="J19" i="5"/>
  <c r="H13" i="5"/>
  <c r="D21" i="1" s="1"/>
  <c r="H18" i="5"/>
  <c r="F20" i="5"/>
  <c r="J18" i="5"/>
  <c r="F9" i="5"/>
  <c r="J9" i="5"/>
  <c r="J15" i="5"/>
  <c r="F11" i="5"/>
  <c r="C17" i="1" s="1"/>
  <c r="F16" i="5"/>
  <c r="H15" i="5"/>
  <c r="F12" i="5"/>
  <c r="C18" i="1" s="1"/>
  <c r="F18" i="5"/>
  <c r="H21" i="5"/>
  <c r="J17" i="5"/>
  <c r="G34" i="4"/>
  <c r="H7" i="5"/>
  <c r="H5" i="5"/>
  <c r="H16" i="5"/>
  <c r="F10" i="5"/>
  <c r="J13" i="5"/>
  <c r="J12" i="5"/>
  <c r="F8" i="5"/>
  <c r="F6" i="5"/>
  <c r="F13" i="5"/>
  <c r="C21" i="1" s="1"/>
  <c r="J7" i="5"/>
  <c r="J11" i="5"/>
  <c r="D16" i="1" l="1"/>
  <c r="D9" i="1"/>
  <c r="J22" i="5"/>
  <c r="K23" i="5" s="1"/>
  <c r="K24" i="5" s="1"/>
  <c r="C9" i="1"/>
  <c r="C16" i="1"/>
  <c r="D6" i="1"/>
  <c r="C6" i="1"/>
  <c r="K8" i="5"/>
  <c r="K10" i="5"/>
  <c r="D24" i="1" l="1"/>
  <c r="J23" i="5"/>
  <c r="J24" i="5" s="1"/>
  <c r="K7" i="5" s="1"/>
  <c r="C24" i="1"/>
  <c r="K9" i="5"/>
  <c r="E16" i="1" s="1"/>
  <c r="F16" i="1" s="1"/>
  <c r="G16" i="1" s="1"/>
  <c r="K5" i="5" l="1"/>
  <c r="E6" i="1"/>
  <c r="F6" i="1" s="1"/>
  <c r="J26" i="5"/>
  <c r="K14" i="5"/>
  <c r="E19" i="1" s="1"/>
  <c r="F19" i="1" s="1"/>
  <c r="G19" i="1" s="1"/>
  <c r="E9" i="1"/>
  <c r="F9" i="1" s="1"/>
  <c r="G9" i="1" s="1"/>
  <c r="K11" i="5"/>
  <c r="E17" i="1" s="1"/>
  <c r="F17" i="1" s="1"/>
  <c r="K6" i="5"/>
  <c r="K12" i="5"/>
  <c r="E18" i="1" s="1"/>
  <c r="F18" i="1" s="1"/>
  <c r="G18" i="1" s="1"/>
  <c r="K13" i="5"/>
  <c r="E21" i="1" s="1"/>
  <c r="F21" i="1" s="1"/>
  <c r="H21" i="1" s="1"/>
  <c r="I21" i="1" s="1"/>
  <c r="S9" i="1"/>
  <c r="H16" i="1"/>
  <c r="I16" i="1" s="1"/>
  <c r="N16" i="1" s="1"/>
  <c r="B19" i="4"/>
  <c r="C19" i="4"/>
  <c r="S6" i="1" l="1"/>
  <c r="H6" i="1"/>
  <c r="G6" i="1"/>
  <c r="J6" i="1"/>
  <c r="K6" i="1" s="1"/>
  <c r="J9" i="1"/>
  <c r="K9" i="1" s="1"/>
  <c r="J25" i="1"/>
  <c r="H19" i="1"/>
  <c r="I19" i="1" s="1"/>
  <c r="N19" i="1" s="1"/>
  <c r="G17" i="1"/>
  <c r="H17" i="1"/>
  <c r="I17" i="1" s="1"/>
  <c r="E24" i="1"/>
  <c r="H18" i="1"/>
  <c r="I18" i="1" s="1"/>
  <c r="N18" i="1" s="1"/>
  <c r="G21" i="1"/>
  <c r="G23" i="1" s="1"/>
  <c r="I9" i="1"/>
  <c r="N9" i="1" s="1"/>
  <c r="F24" i="1"/>
  <c r="F23" i="1"/>
  <c r="L3" i="1" s="1"/>
  <c r="M3" i="1" s="1"/>
  <c r="N3" i="1" s="1"/>
  <c r="J16" i="1"/>
  <c r="K16" i="1" s="1"/>
  <c r="I6" i="1"/>
  <c r="Q6" i="1"/>
  <c r="R6" i="1" s="1"/>
  <c r="Q9" i="1"/>
  <c r="R9" i="1" s="1"/>
  <c r="C26" i="4"/>
  <c r="B26" i="4"/>
  <c r="H23" i="1" l="1"/>
  <c r="L4" i="1" s="1"/>
  <c r="M4" i="1" s="1"/>
  <c r="J18" i="1"/>
  <c r="K18" i="1" s="1"/>
  <c r="J19" i="1"/>
  <c r="K19" i="1" s="1"/>
  <c r="J26" i="1"/>
  <c r="J27" i="1" s="1"/>
  <c r="J17" i="1"/>
  <c r="K17" i="1" s="1"/>
  <c r="N17" i="1"/>
  <c r="I23" i="1"/>
  <c r="J21" i="1"/>
  <c r="K21" i="1" s="1"/>
  <c r="N21" i="1"/>
  <c r="G35" i="4"/>
  <c r="N6" i="1"/>
  <c r="L6" i="5"/>
  <c r="M6" i="5" s="1"/>
  <c r="L14" i="5"/>
  <c r="M14" i="5" s="1"/>
  <c r="L11" i="5"/>
  <c r="M11" i="5" s="1"/>
  <c r="L5" i="5"/>
  <c r="M5" i="5" s="1"/>
  <c r="L7" i="5"/>
  <c r="M7" i="5" s="1"/>
  <c r="L20" i="5"/>
  <c r="M20" i="5" s="1"/>
  <c r="L15" i="5"/>
  <c r="M15" i="5" s="1"/>
  <c r="L16" i="5"/>
  <c r="M16" i="5" s="1"/>
  <c r="L19" i="5"/>
  <c r="M19" i="5" s="1"/>
  <c r="L9" i="5"/>
  <c r="M9" i="5" s="1"/>
  <c r="L8" i="5"/>
  <c r="M8" i="5" s="1"/>
  <c r="L13" i="5"/>
  <c r="M13" i="5" s="1"/>
  <c r="L12" i="5"/>
  <c r="M12" i="5" s="1"/>
  <c r="L18" i="5"/>
  <c r="M18" i="5" s="1"/>
  <c r="L10" i="5"/>
  <c r="M10" i="5" s="1"/>
  <c r="L17" i="5"/>
  <c r="M17" i="5" s="1"/>
  <c r="L21" i="5"/>
  <c r="M21" i="5" s="1"/>
  <c r="H25" i="1" l="1"/>
  <c r="K23" i="1"/>
  <c r="G33" i="1" s="1"/>
  <c r="G35" i="1" s="1"/>
  <c r="G36" i="1" s="1"/>
  <c r="G38" i="1" s="1"/>
  <c r="H38" i="1" s="1"/>
  <c r="J23" i="1"/>
  <c r="H32" i="1" s="1"/>
  <c r="L9" i="1"/>
  <c r="M22" i="5"/>
  <c r="L22" i="5"/>
  <c r="L23" i="1" l="1"/>
  <c r="O9" i="1"/>
  <c r="M16" i="1"/>
  <c r="M21" i="1"/>
  <c r="L16" i="1"/>
  <c r="O17" i="1"/>
  <c r="M23" i="1"/>
  <c r="M17" i="1"/>
  <c r="O19" i="1"/>
  <c r="O11" i="1"/>
  <c r="M11" i="1"/>
  <c r="M9" i="1"/>
  <c r="O21" i="1"/>
  <c r="L18" i="1"/>
  <c r="L11" i="1"/>
  <c r="M18" i="1"/>
  <c r="L6" i="1"/>
  <c r="L17" i="1"/>
  <c r="O18" i="1"/>
  <c r="L19" i="1"/>
  <c r="O6" i="1"/>
  <c r="G28" i="1"/>
  <c r="M19" i="1"/>
  <c r="O16" i="1"/>
  <c r="L21" i="1"/>
  <c r="M6" i="1"/>
  <c r="G29" i="1" l="1"/>
  <c r="G31" i="1" s="1"/>
  <c r="H31" i="1" s="1"/>
</calcChain>
</file>

<file path=xl/sharedStrings.xml><?xml version="1.0" encoding="utf-8"?>
<sst xmlns="http://schemas.openxmlformats.org/spreadsheetml/2006/main" count="318" uniqueCount="179">
  <si>
    <t xml:space="preserve">Diesel </t>
  </si>
  <si>
    <t xml:space="preserve">Manutenção </t>
  </si>
  <si>
    <t xml:space="preserve">Mão de Obra </t>
  </si>
  <si>
    <t>Indirétos</t>
  </si>
  <si>
    <t xml:space="preserve">Total </t>
  </si>
  <si>
    <t xml:space="preserve">Limpeza </t>
  </si>
  <si>
    <t xml:space="preserve">Escavadeira </t>
  </si>
  <si>
    <t xml:space="preserve">Escavação e Carga </t>
  </si>
  <si>
    <t xml:space="preserve">Transporte </t>
  </si>
  <si>
    <t>Caminhões Escavação Aterro</t>
  </si>
  <si>
    <t xml:space="preserve">Caminhões Bota Fora </t>
  </si>
  <si>
    <t xml:space="preserve">Aterro Compactado </t>
  </si>
  <si>
    <t>Espalhamento / Tratamento</t>
  </si>
  <si>
    <t>Trator de esteiras (T)</t>
  </si>
  <si>
    <t xml:space="preserve">Motoniveladora </t>
  </si>
  <si>
    <t xml:space="preserve">Trator com Grade </t>
  </si>
  <si>
    <t xml:space="preserve">Caminhão Pipa </t>
  </si>
  <si>
    <t xml:space="preserve">Compactação de Solo </t>
  </si>
  <si>
    <t xml:space="preserve">Rolo </t>
  </si>
  <si>
    <t xml:space="preserve">Custo Total do Projeto </t>
  </si>
  <si>
    <t xml:space="preserve">Orçamento Apresentado </t>
  </si>
  <si>
    <t xml:space="preserve">Lucro Estimado </t>
  </si>
  <si>
    <t xml:space="preserve">Imposto sobre Lucro </t>
  </si>
  <si>
    <t xml:space="preserve">Lucro Liquido </t>
  </si>
  <si>
    <t>Escavadeira  312 DL</t>
  </si>
  <si>
    <t>Escavadeira  320DL</t>
  </si>
  <si>
    <t>Escavadeira  336DL</t>
  </si>
  <si>
    <t>Escavadeira  345 GC</t>
  </si>
  <si>
    <t>Trator de esteiras (N)</t>
  </si>
  <si>
    <t>Patrol</t>
  </si>
  <si>
    <t>Grade</t>
  </si>
  <si>
    <t>Rolo Compactador</t>
  </si>
  <si>
    <t>Caminhão Pipa</t>
  </si>
  <si>
    <t xml:space="preserve">Média Consumo Hora </t>
  </si>
  <si>
    <t xml:space="preserve">M² </t>
  </si>
  <si>
    <t>Total  em Horas para Finalizar o Contrato de Limpesa</t>
  </si>
  <si>
    <t xml:space="preserve">Limpesa de Terreno </t>
  </si>
  <si>
    <t xml:space="preserve">Prazo em Dias Uteis </t>
  </si>
  <si>
    <t xml:space="preserve">Horas do Material  Empolado </t>
  </si>
  <si>
    <t>Horas do Material  In Situ</t>
  </si>
  <si>
    <t xml:space="preserve">Escavação e Carga Com Escavadeira </t>
  </si>
  <si>
    <t xml:space="preserve">Total  em Horas para Finalizar o Contrato </t>
  </si>
  <si>
    <t xml:space="preserve">M³ Empolado </t>
  </si>
  <si>
    <t>M³ In Situ</t>
  </si>
  <si>
    <t xml:space="preserve">Custo de Manutenção </t>
  </si>
  <si>
    <t>Transporte para Local 01</t>
  </si>
  <si>
    <t xml:space="preserve">Valor do Diesel Para Orçamento </t>
  </si>
  <si>
    <t>Área do Terreno</t>
  </si>
  <si>
    <t xml:space="preserve">Total de Horas do Projeto </t>
  </si>
  <si>
    <t xml:space="preserve">Total de Viagens do Projeto </t>
  </si>
  <si>
    <t xml:space="preserve">Horas Trabalhadas Por Mes </t>
  </si>
  <si>
    <t xml:space="preserve">Horas Trabalhadas Por Dia </t>
  </si>
  <si>
    <t xml:space="preserve">Volume de Bota Fora </t>
  </si>
  <si>
    <t xml:space="preserve">Prazo em Meses do contrato </t>
  </si>
  <si>
    <t xml:space="preserve">Volume de Aterro </t>
  </si>
  <si>
    <t xml:space="preserve">Total de dias Uteis do Contrato </t>
  </si>
  <si>
    <t>Volume de Escavação Local 02</t>
  </si>
  <si>
    <t>Dias Uteis no Mês</t>
  </si>
  <si>
    <t>Volume de Escavação Local 01</t>
  </si>
  <si>
    <t xml:space="preserve">Prazo para Executar </t>
  </si>
  <si>
    <t xml:space="preserve">Volume de Escavação Total </t>
  </si>
  <si>
    <t xml:space="preserve">Final </t>
  </si>
  <si>
    <t xml:space="preserve">Inicio </t>
  </si>
  <si>
    <t xml:space="preserve">Dados do Projeto </t>
  </si>
  <si>
    <t xml:space="preserve">Fator de Empolamento </t>
  </si>
  <si>
    <t xml:space="preserve">Quant. Equipamentos </t>
  </si>
  <si>
    <t xml:space="preserve">Custo ( R$ ) Hora </t>
  </si>
  <si>
    <t xml:space="preserve">Produtividade Por Hora </t>
  </si>
  <si>
    <t xml:space="preserve">Viagens </t>
  </si>
  <si>
    <t xml:space="preserve">Custo Manutenção </t>
  </si>
  <si>
    <t xml:space="preserve">Custo Díesel </t>
  </si>
  <si>
    <t xml:space="preserve">Apontador </t>
  </si>
  <si>
    <t xml:space="preserve">Administrativo </t>
  </si>
  <si>
    <t>Custo H.H.</t>
  </si>
  <si>
    <t>Topografia</t>
  </si>
  <si>
    <t xml:space="preserve">Laboratório </t>
  </si>
  <si>
    <t xml:space="preserve">Alojamento </t>
  </si>
  <si>
    <t>Alimentação</t>
  </si>
  <si>
    <t xml:space="preserve">Vigilancia </t>
  </si>
  <si>
    <t xml:space="preserve">Custos Indirétos </t>
  </si>
  <si>
    <t xml:space="preserve">Perca no Carregamento </t>
  </si>
  <si>
    <t xml:space="preserve">Valor Conbinado do Frete </t>
  </si>
  <si>
    <t xml:space="preserve">Volume Transportado por viagem </t>
  </si>
  <si>
    <t>M³ Empolado</t>
  </si>
  <si>
    <t xml:space="preserve">Perca de Volume </t>
  </si>
  <si>
    <t xml:space="preserve">M³ In Sito </t>
  </si>
  <si>
    <t xml:space="preserve">Fator de Empolamento Material </t>
  </si>
  <si>
    <t>DMT 8KM</t>
  </si>
  <si>
    <t>DMT 2KM</t>
  </si>
  <si>
    <t xml:space="preserve">Total de Custo Mensal </t>
  </si>
  <si>
    <t>M³ Produzido Dia</t>
  </si>
  <si>
    <t xml:space="preserve">Viagens Dia </t>
  </si>
  <si>
    <t xml:space="preserve">M³ Hora </t>
  </si>
  <si>
    <t xml:space="preserve">Total de Horas com essa produção </t>
  </si>
  <si>
    <t>Coluna11</t>
  </si>
  <si>
    <t xml:space="preserve">Descrição </t>
  </si>
  <si>
    <t>Quant.</t>
  </si>
  <si>
    <t xml:space="preserve">Custo H Diesel </t>
  </si>
  <si>
    <t xml:space="preserve">Total Diesel </t>
  </si>
  <si>
    <t xml:space="preserve">Custo H Manutenção </t>
  </si>
  <si>
    <t xml:space="preserve">Total Manutenção </t>
  </si>
  <si>
    <t>Total H. Homem</t>
  </si>
  <si>
    <t xml:space="preserve">Custos H Indirétos </t>
  </si>
  <si>
    <t xml:space="preserve">Total Indirétos </t>
  </si>
  <si>
    <t xml:space="preserve">Total de Custos </t>
  </si>
  <si>
    <t>Preço de :</t>
  </si>
  <si>
    <t>Preço de:</t>
  </si>
  <si>
    <t xml:space="preserve">MOBI / DESMOBI </t>
  </si>
  <si>
    <t>PLANILHA PADRÃO DE PROPOSTA - FORNECIMENTO DE SERVIÇO DE TERRAPLANAGEM</t>
  </si>
  <si>
    <t xml:space="preserve">Cliente:  </t>
  </si>
  <si>
    <t xml:space="preserve">CNPJ:    </t>
  </si>
  <si>
    <t xml:space="preserve">Obra:       </t>
  </si>
  <si>
    <t xml:space="preserve">Local:      </t>
  </si>
  <si>
    <t>FORNECIMENTO DE MÃO DE OBRA E EQUIPAMENTOS PARA SERVIÇO DE TERRAPLANAGEM</t>
  </si>
  <si>
    <r>
      <rPr>
        <b/>
        <sz val="10"/>
        <rFont val="Calibri"/>
        <family val="1"/>
      </rPr>
      <t>Item</t>
    </r>
  </si>
  <si>
    <r>
      <rPr>
        <b/>
        <sz val="10"/>
        <rFont val="Calibri"/>
        <family val="1"/>
      </rPr>
      <t>Descrição</t>
    </r>
  </si>
  <si>
    <r>
      <rPr>
        <b/>
        <sz val="10"/>
        <rFont val="Calibri"/>
        <family val="1"/>
      </rPr>
      <t>Unid.</t>
    </r>
  </si>
  <si>
    <r>
      <rPr>
        <b/>
        <sz val="10"/>
        <rFont val="Calibri"/>
        <family val="1"/>
      </rPr>
      <t>QUANTIDADE</t>
    </r>
  </si>
  <si>
    <t>Preço
Unitário (R$)</t>
  </si>
  <si>
    <r>
      <rPr>
        <b/>
        <sz val="10"/>
        <rFont val="Calibri"/>
        <family val="1"/>
      </rPr>
      <t>Valor Total</t>
    </r>
  </si>
  <si>
    <r>
      <rPr>
        <b/>
        <sz val="11"/>
        <rFont val="Calibri"/>
        <family val="1"/>
      </rPr>
      <t>PRELIMINARES</t>
    </r>
  </si>
  <si>
    <t>1.1</t>
  </si>
  <si>
    <t>Mobilização e desmobilização de equipe e equipamentos.</t>
  </si>
  <si>
    <t>VB</t>
  </si>
  <si>
    <t xml:space="preserve">LIMPEZA </t>
  </si>
  <si>
    <t>2.1</t>
  </si>
  <si>
    <t>Limpeza da camada vegetal, incluindo fornecimento de máquinas em perfeito estado de conservação, juntamente com seus respectivos operadores. (Camada de até 20 cm).</t>
  </si>
  <si>
    <t>M2</t>
  </si>
  <si>
    <t>2.2</t>
  </si>
  <si>
    <t>M3</t>
  </si>
  <si>
    <t>ESCAVAÇÃO, CARGA / DESCARGA E TRANSPORTE</t>
  </si>
  <si>
    <t>3.1</t>
  </si>
  <si>
    <t>ATERRO E COMPACTAÇÃO</t>
  </si>
  <si>
    <t>4.1</t>
  </si>
  <si>
    <t>Aterro, Espalhamento, Tratamento e Compactação do solo de material de 1ª categoria a 100% procto normal conforme normas vigentes, incluindo fornecimento de máquinas em perfeito estado de conservação, juntamente com seus respectivos operadores.</t>
  </si>
  <si>
    <t>4.2</t>
  </si>
  <si>
    <t>Nivelamento e Regularização final da área OBS.: Material a ser definido</t>
  </si>
  <si>
    <t>VALOR TOTAL DO SERVIÇO:</t>
  </si>
  <si>
    <t>INFORMAÇÕES DE FATURAMENTO</t>
  </si>
  <si>
    <r>
      <rPr>
        <b/>
        <u/>
        <sz val="10"/>
        <rFont val="Calibri"/>
        <family val="2"/>
      </rPr>
      <t>(OS PERCENTUAIS INFORMADOS DEVEM SEMPRE RESPEITAR AS LEGISLAÇÕES NACIONAIS, ESTADUAIS E MUNICIPAIS PERTINENTES)</t>
    </r>
  </si>
  <si>
    <t>A</t>
  </si>
  <si>
    <t>FATURAMENTO DE PRESTAÇÃO DE SERVIÇOS (MÃO DE OBRA)</t>
  </si>
  <si>
    <t>B</t>
  </si>
  <si>
    <t>FATURAMENTO DE EQUIPAMENTOS</t>
  </si>
  <si>
    <t>PRAZOS (considerando a partir do início dos serviços):</t>
  </si>
  <si>
    <t>A.1</t>
  </si>
  <si>
    <t>Mobilização de equipe e equipamentos.</t>
  </si>
  <si>
    <t>IMEDIATO MEDIANTE ACEITE DA PROPOSTA</t>
  </si>
  <si>
    <t>A.2</t>
  </si>
  <si>
    <t>Execução dos serviços, considerando áreas 100% liberadas.</t>
  </si>
  <si>
    <t>CHECK LIST TÉCNICO</t>
  </si>
  <si>
    <t>CAMPO PARA CONFIRMAÇÃO
CONTRATADA</t>
  </si>
  <si>
    <t>Fornecimento de equipe que atenda o cronograma a ser apresentado no início da obra de modo a não atrasar o andamento dos serviços.</t>
  </si>
  <si>
    <t>Fornecimento de Equipe de Topografia para suas respectivas marcações de greide de Terraplenagem e Paviemtação e quaisquer outras atividades que forem de responsabilidade da mesma, laboratório para acompanhamento e verificação do grau de compactação das camadas , entre outros, serão fornecidos PELA CONTRATANTE.
Os projetos executivos e detalhes/orientações, serão fornecidos pela CONTRATANTE.</t>
  </si>
  <si>
    <t xml:space="preserve">O critério de medições :
• Mediante Levantamento Topográfico Mensal
</t>
  </si>
  <si>
    <t xml:space="preserve">O critério de Faturamento :
• Emissão de Nota Fiscal e Boleto vencimento 10 Dias após emissão
</t>
  </si>
  <si>
    <t xml:space="preserve">O critério de execução :
• Caso seja preciso quaisquer outros tipos de atividades para execução dos serviços seja interno ou externo, serão cobrados hora equipamentos em medições.                                                                                                                                                                                                                                                      • Quantitativos acima descritos podendo variar mediante levantamento topografico, caso haja alterações serão acrescidos ou descrescidas em medições.
</t>
  </si>
  <si>
    <t>XX DIAS APÓS ACEITE DA PROPOSTA (SEM INTERVENÇÕES TIPO CHUVA)</t>
  </si>
  <si>
    <t>COMPOSIÇÃO DE PREÇOS OBRA RONMA</t>
  </si>
  <si>
    <t>A. F. EMPREENDIMENTOS IMOBILIARIOS LTDA EPP</t>
  </si>
  <si>
    <t>RONMA</t>
  </si>
  <si>
    <t>05.635.205/0001-67</t>
  </si>
  <si>
    <t>CARAPINA, SERRA - ES</t>
  </si>
  <si>
    <t>DMT 12KM - BOTA FORA</t>
  </si>
  <si>
    <r>
      <t xml:space="preserve">Carga / Descarga e Transporte da camada vegetal para bota fora licenciado (com documentação) incluindo fornecimento de caminhões e máquinas em perfeito estado de conservação, juntamente com seus respectivos motoristas e operadores. </t>
    </r>
    <r>
      <rPr>
        <b/>
        <sz val="11"/>
        <color rgb="FFFF0000"/>
        <rFont val="Calibri"/>
        <family val="2"/>
      </rPr>
      <t>DMT ATE 12KM</t>
    </r>
  </si>
  <si>
    <r>
      <t xml:space="preserve">Escavação mecânica, Carga e Transporte de material de 1ª categoria e máquinas em perfeito estado de conservação, juntamente com seus respectivos operadores e motoristas. </t>
    </r>
    <r>
      <rPr>
        <b/>
        <sz val="11"/>
        <color rgb="FFFF0000"/>
        <rFont val="Calibri"/>
        <family val="2"/>
      </rPr>
      <t>DMT ATE 1 KM.</t>
    </r>
    <r>
      <rPr>
        <sz val="11"/>
        <rFont val="Calibri"/>
        <family val="1"/>
      </rPr>
      <t xml:space="preserve">
</t>
    </r>
  </si>
  <si>
    <t>VALOR VIAGEM</t>
  </si>
  <si>
    <t xml:space="preserve">Mobilização e Desmobilização de todos equipamentos envolvidos na operação necessários para execução do serviço, incluindo seus respectivos motoristas e operadores (01 Escavadeira Hidráulica, 01 Motoniveladora, 01 Caminhão Pipa, 02 Rolo Compactador Pé de carneiro, 01 Trator Agrícola com Grade ou qualquer outro que seja necessário para execução do serviço, 05 Caminhões Caçamba Truck, 01 Caminhão Prancha, 01 Automóvel Apoio). </t>
  </si>
  <si>
    <t>PRAZO PARA EXECUÇÃO: xx DIAS TRABALHADOS</t>
  </si>
  <si>
    <t>1.2</t>
  </si>
  <si>
    <t>Equipe de Topografia</t>
  </si>
  <si>
    <r>
      <t xml:space="preserve">Carga / Descarga e Transporte da camada vegetal para bota fora licenciado (com documentação) incluindo fornecimento de caminhões e máquinas em perfeito estado de conservação, juntamente com seus respectivos motoristas e operadores. </t>
    </r>
    <r>
      <rPr>
        <b/>
        <sz val="11"/>
        <color rgb="FFFF0000"/>
        <rFont val="Calibri"/>
        <family val="2"/>
      </rPr>
      <t>DMT ATE 1 KM</t>
    </r>
  </si>
  <si>
    <t>2.3</t>
  </si>
  <si>
    <t>Unid.</t>
  </si>
  <si>
    <t xml:space="preserve">Mobilização e Desmobilização de todos equipamentos envolvidos na operação necessários para execução do serviço, incluindo seus respectivos motoristas e operadores (02 Escavadeiras Hidráulicas, 01 Motoniveladora, 01 Caminhão Pipa, 02 Rolo Compactador Pé de carneiro, 01 Trator Agrícola com Grade ou qualquer outro que seja necessário para execução do serviço, 05 Caminhões Caçamba Truck, 01 Caminhão Prancha, 01 Automóvel Apoio). </t>
  </si>
  <si>
    <t>PRAZO PARA EXECUÇÃO: 45 DIAS TRABALHADOS</t>
  </si>
  <si>
    <t>45 DIAS APÓS ACEITE DA PROPOSTA (SEM INTERVENÇÕES TIPO CHUVA)</t>
  </si>
  <si>
    <t>Fornecimento de Equipe de Topografia para suas respectivas marcações de greide de Terraplenagem e Paviemtação e quaisquer outras atividades que forem de responsabilidade da mesma POR CONTA DA CONTRATADA, laboratório para acompanhamento e verificação do grau de compactação das camadas , entre outros, serão fornecidos PELA CONTRATANTE.
Os projetos executivos e detalhes/orientações, serão fornecidos pela CONTRATANTE.</t>
  </si>
  <si>
    <r>
      <t xml:space="preserve">Destocamento de árvores com diâmetro &gt; 30 cm, com Escavadeira Hidraúlica e com destinação dentro da própria obra. </t>
    </r>
    <r>
      <rPr>
        <b/>
        <sz val="11"/>
        <color rgb="FFFF0000"/>
        <rFont val="Aptos Narrow"/>
        <family val="2"/>
        <scheme val="minor"/>
      </rPr>
      <t>DMT ATE 1 KM (QUANTITATIVO ESTIPULADO SENDO NECESSÁRIO REALIZAÇÃO DE LEVANTAMENTO PARA CONFIRMAÇÃO)</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</si>
</sst>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44" formatCode="_-&quot;R$&quot;\ * #,##0.00_-;\-&quot;R$&quot;\ * #,##0.00_-;_-&quot;R$&quot;\ * &quot;-&quot;??_-;_-@_-"/>
    <numFmt numFmtId="43" formatCode="_-* #,##0.00_-;\-* #,##0.00_-;_-* &quot;-&quot;??_-;_-@_-"/>
    <numFmt numFmtId="164" formatCode="_-&quot;R$&quot;\ * #,##0.000_-;\-&quot;R$&quot;\ * #,##0.000_-;_-&quot;R$&quot;\ * &quot;-&quot;??_-;_-@_-"/>
    <numFmt numFmtId="165" formatCode="_-&quot;R$&quot;\ * #,##0.0000_-;\-&quot;R$&quot;\ * #,##0.0000_-;_-&quot;R$&quot;\ * &quot;-&quot;??_-;_-@_-"/>
    <numFmt numFmtId="166" formatCode="_-* #,##0_-;\-* #,##0_-;_-* &quot;-&quot;??_-;_-@_-"/>
    <numFmt numFmtId="167" formatCode="&quot;R$&quot;\ #,##0.00"/>
  </numFmts>
  <fonts count="28" x14ac:knownFonts="1">
    <font>
      <sz val="11"/>
      <color theme="1"/>
      <name val="Aptos Narrow"/>
      <family val="2"/>
      <scheme val="minor"/>
    </font>
    <font>
      <sz val="11"/>
      <color theme="1"/>
      <name val="Aptos Narrow"/>
      <family val="2"/>
      <scheme val="minor"/>
    </font>
    <font>
      <b/>
      <sz val="11"/>
      <color theme="1"/>
      <name val="Aptos Narrow"/>
      <family val="2"/>
      <scheme val="minor"/>
    </font>
    <font>
      <b/>
      <sz val="7.5"/>
      <name val="Calibri"/>
      <family val="1"/>
    </font>
    <font>
      <b/>
      <sz val="10"/>
      <name val="Calibri"/>
      <family val="1"/>
    </font>
    <font>
      <sz val="10"/>
      <color rgb="FF000000"/>
      <name val="Times New Roman"/>
      <family val="1"/>
    </font>
    <font>
      <b/>
      <sz val="10"/>
      <name val="Calibri"/>
      <family val="2"/>
    </font>
    <font>
      <b/>
      <sz val="11"/>
      <color rgb="FF000000"/>
      <name val="Calibri"/>
      <family val="2"/>
    </font>
    <font>
      <b/>
      <sz val="11"/>
      <name val="Calibri"/>
      <family val="2"/>
    </font>
    <font>
      <b/>
      <sz val="11"/>
      <name val="Calibri"/>
      <family val="1"/>
    </font>
    <font>
      <sz val="11"/>
      <color rgb="FF000000"/>
      <name val="Times New Roman"/>
      <family val="1"/>
    </font>
    <font>
      <b/>
      <sz val="11"/>
      <color rgb="FF000000"/>
      <name val="Times New Roman"/>
      <family val="1"/>
    </font>
    <font>
      <sz val="8"/>
      <color theme="1"/>
      <name val="Arial"/>
      <family val="2"/>
    </font>
    <font>
      <sz val="11"/>
      <name val="Calibri"/>
      <family val="2"/>
    </font>
    <font>
      <sz val="10"/>
      <name val="Calibri"/>
      <family val="1"/>
    </font>
    <font>
      <sz val="10"/>
      <color rgb="FF000000"/>
      <name val="Arial"/>
      <family val="2"/>
    </font>
    <font>
      <sz val="10"/>
      <name val="Arial"/>
      <family val="2"/>
    </font>
    <font>
      <sz val="11"/>
      <name val="Calibri"/>
      <family val="1"/>
    </font>
    <font>
      <sz val="10"/>
      <name val="Calibri"/>
      <family val="2"/>
    </font>
    <font>
      <sz val="10"/>
      <color theme="1"/>
      <name val="Arial"/>
      <family val="2"/>
    </font>
    <font>
      <b/>
      <sz val="11"/>
      <color rgb="FFFF0000"/>
      <name val="Calibri"/>
      <family val="2"/>
    </font>
    <font>
      <b/>
      <sz val="10"/>
      <color rgb="FF000000"/>
      <name val="Arial"/>
      <family val="2"/>
    </font>
    <font>
      <b/>
      <sz val="10"/>
      <color theme="1"/>
      <name val="Arial"/>
      <family val="2"/>
    </font>
    <font>
      <b/>
      <sz val="10"/>
      <name val="Arial"/>
      <family val="2"/>
    </font>
    <font>
      <b/>
      <sz val="12"/>
      <name val="Calibri"/>
      <family val="2"/>
    </font>
    <font>
      <sz val="10"/>
      <color rgb="FF000000"/>
      <name val="Calibri"/>
      <family val="2"/>
    </font>
    <font>
      <b/>
      <u/>
      <sz val="10"/>
      <name val="Calibri"/>
      <family val="2"/>
    </font>
    <font>
      <b/>
      <sz val="11"/>
      <color rgb="FFFF0000"/>
      <name val="Aptos Narrow"/>
      <family val="2"/>
      <scheme val="minor"/>
    </font>
  </fonts>
  <fills count="17">
    <fill>
      <patternFill patternType="none"/>
    </fill>
    <fill>
      <patternFill patternType="gray125"/>
    </fill>
    <fill>
      <patternFill patternType="solid">
        <fgColor theme="3" tint="0.749992370372631"/>
        <bgColor indexed="64"/>
      </patternFill>
    </fill>
    <fill>
      <patternFill patternType="solid">
        <fgColor theme="0" tint="-0.14999847407452621"/>
        <bgColor indexed="64"/>
      </patternFill>
    </fill>
    <fill>
      <patternFill patternType="solid">
        <fgColor rgb="FFFFFF00"/>
        <bgColor indexed="64"/>
      </patternFill>
    </fill>
    <fill>
      <patternFill patternType="solid">
        <fgColor theme="2" tint="-9.9978637043366805E-2"/>
        <bgColor indexed="64"/>
      </patternFill>
    </fill>
    <fill>
      <patternFill patternType="solid">
        <fgColor theme="2"/>
        <bgColor indexed="64"/>
      </patternFill>
    </fill>
    <fill>
      <patternFill patternType="solid">
        <fgColor theme="9"/>
        <bgColor indexed="64"/>
      </patternFill>
    </fill>
    <fill>
      <patternFill patternType="solid">
        <fgColor theme="3" tint="0.89999084444715716"/>
        <bgColor indexed="64"/>
      </patternFill>
    </fill>
    <fill>
      <patternFill patternType="solid">
        <fgColor theme="3" tint="0.499984740745262"/>
        <bgColor indexed="64"/>
      </patternFill>
    </fill>
    <fill>
      <patternFill patternType="solid">
        <fgColor rgb="FFFFC000"/>
        <bgColor indexed="64"/>
      </patternFill>
    </fill>
    <fill>
      <patternFill patternType="solid">
        <fgColor theme="3" tint="0.59999389629810485"/>
        <bgColor indexed="64"/>
      </patternFill>
    </fill>
    <fill>
      <patternFill patternType="solid">
        <fgColor theme="0"/>
        <bgColor indexed="64"/>
      </patternFill>
    </fill>
    <fill>
      <patternFill patternType="solid">
        <fgColor theme="3" tint="0.79998168889431442"/>
        <bgColor indexed="64"/>
      </patternFill>
    </fill>
    <fill>
      <patternFill patternType="solid">
        <fgColor rgb="FFFFFF00"/>
      </patternFill>
    </fill>
    <fill>
      <patternFill patternType="solid">
        <fgColor rgb="FF66FF66"/>
        <bgColor indexed="64"/>
      </patternFill>
    </fill>
    <fill>
      <patternFill patternType="solid">
        <fgColor rgb="FFD6DCE4"/>
      </patternFill>
    </fill>
  </fills>
  <borders count="42">
    <border>
      <left/>
      <right/>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bottom/>
      <diagonal/>
    </border>
    <border>
      <left/>
      <right style="medium">
        <color indexed="64"/>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right style="thin">
        <color indexed="64"/>
      </right>
      <top style="thin">
        <color indexed="64"/>
      </top>
      <bottom style="thin">
        <color indexed="64"/>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style="thin">
        <color indexed="64"/>
      </left>
      <right/>
      <top style="thin">
        <color indexed="64"/>
      </top>
      <bottom style="thin">
        <color indexed="64"/>
      </bottom>
      <diagonal/>
    </border>
    <border>
      <left style="thin">
        <color rgb="FF000000"/>
      </left>
      <right style="medium">
        <color indexed="64"/>
      </right>
      <top style="thin">
        <color rgb="FF000000"/>
      </top>
      <bottom style="thin">
        <color rgb="FF000000"/>
      </bottom>
      <diagonal/>
    </border>
  </borders>
  <cellStyleXfs count="5">
    <xf numFmtId="0" fontId="0" fillId="0" borderId="0"/>
    <xf numFmtId="43" fontId="1" fillId="0" borderId="0" applyFont="0" applyFill="0" applyBorder="0" applyAlignment="0" applyProtection="0"/>
    <xf numFmtId="44" fontId="1" fillId="0" borderId="0" applyFont="0" applyFill="0" applyBorder="0" applyAlignment="0" applyProtection="0"/>
    <xf numFmtId="9" fontId="1" fillId="0" borderId="0" applyFont="0" applyFill="0" applyBorder="0" applyAlignment="0" applyProtection="0"/>
    <xf numFmtId="44" fontId="5" fillId="0" borderId="0" applyFont="0" applyFill="0" applyBorder="0" applyAlignment="0" applyProtection="0"/>
  </cellStyleXfs>
  <cellXfs count="211">
    <xf numFmtId="0" fontId="0" fillId="0" borderId="0" xfId="0"/>
    <xf numFmtId="0" fontId="0" fillId="0" borderId="4" xfId="0" applyBorder="1"/>
    <xf numFmtId="0" fontId="0" fillId="0" borderId="0" xfId="0" applyAlignment="1">
      <alignment horizontal="center"/>
    </xf>
    <xf numFmtId="0" fontId="0" fillId="0" borderId="5" xfId="0" applyBorder="1"/>
    <xf numFmtId="0" fontId="0" fillId="3" borderId="9" xfId="0" applyFill="1" applyBorder="1"/>
    <xf numFmtId="44" fontId="0" fillId="4" borderId="11" xfId="2" applyFont="1" applyFill="1" applyBorder="1"/>
    <xf numFmtId="44" fontId="0" fillId="0" borderId="0" xfId="2" applyFont="1"/>
    <xf numFmtId="9" fontId="0" fillId="0" borderId="0" xfId="3" applyFont="1"/>
    <xf numFmtId="44" fontId="0" fillId="3" borderId="10" xfId="0" applyNumberFormat="1" applyFill="1" applyBorder="1"/>
    <xf numFmtId="0" fontId="0" fillId="3" borderId="12" xfId="0" applyFill="1" applyBorder="1"/>
    <xf numFmtId="164" fontId="0" fillId="3" borderId="13" xfId="0" applyNumberFormat="1" applyFill="1" applyBorder="1"/>
    <xf numFmtId="0" fontId="0" fillId="3" borderId="13" xfId="0" applyFill="1" applyBorder="1"/>
    <xf numFmtId="44" fontId="0" fillId="3" borderId="14" xfId="2" applyFont="1" applyFill="1" applyBorder="1"/>
    <xf numFmtId="0" fontId="0" fillId="0" borderId="15" xfId="0" applyBorder="1"/>
    <xf numFmtId="44" fontId="0" fillId="0" borderId="16" xfId="0" applyNumberFormat="1" applyBorder="1"/>
    <xf numFmtId="0" fontId="0" fillId="0" borderId="16" xfId="0" applyBorder="1"/>
    <xf numFmtId="164" fontId="0" fillId="0" borderId="16" xfId="0" applyNumberFormat="1" applyBorder="1"/>
    <xf numFmtId="44" fontId="0" fillId="0" borderId="17" xfId="2" applyFont="1" applyBorder="1"/>
    <xf numFmtId="0" fontId="0" fillId="3" borderId="19" xfId="0" applyFill="1" applyBorder="1"/>
    <xf numFmtId="44" fontId="0" fillId="4" borderId="20" xfId="0" applyNumberFormat="1" applyFill="1" applyBorder="1"/>
    <xf numFmtId="0" fontId="0" fillId="2" borderId="7" xfId="0" applyFill="1" applyBorder="1"/>
    <xf numFmtId="0" fontId="0" fillId="2" borderId="8" xfId="0" applyFill="1" applyBorder="1"/>
    <xf numFmtId="44" fontId="0" fillId="3" borderId="13" xfId="0" applyNumberFormat="1" applyFill="1" applyBorder="1"/>
    <xf numFmtId="0" fontId="0" fillId="0" borderId="21" xfId="0" applyBorder="1"/>
    <xf numFmtId="44" fontId="0" fillId="0" borderId="22" xfId="0" applyNumberFormat="1" applyBorder="1"/>
    <xf numFmtId="44" fontId="0" fillId="0" borderId="23" xfId="2" applyFont="1" applyBorder="1"/>
    <xf numFmtId="0" fontId="0" fillId="3" borderId="21" xfId="0" applyFill="1" applyBorder="1"/>
    <xf numFmtId="44" fontId="0" fillId="3" borderId="22" xfId="0" applyNumberFormat="1" applyFill="1" applyBorder="1"/>
    <xf numFmtId="44" fontId="0" fillId="3" borderId="23" xfId="2" applyFont="1" applyFill="1" applyBorder="1"/>
    <xf numFmtId="0" fontId="0" fillId="2" borderId="0" xfId="0" applyFill="1"/>
    <xf numFmtId="0" fontId="0" fillId="2" borderId="5" xfId="0" applyFill="1" applyBorder="1"/>
    <xf numFmtId="165" fontId="0" fillId="3" borderId="10" xfId="0" applyNumberFormat="1" applyFill="1" applyBorder="1"/>
    <xf numFmtId="44" fontId="0" fillId="3" borderId="11" xfId="2" applyFont="1" applyFill="1" applyBorder="1"/>
    <xf numFmtId="0" fontId="0" fillId="0" borderId="18" xfId="0" applyBorder="1"/>
    <xf numFmtId="0" fontId="0" fillId="0" borderId="19" xfId="0" applyBorder="1"/>
    <xf numFmtId="44" fontId="0" fillId="0" borderId="20" xfId="0" applyNumberFormat="1" applyBorder="1"/>
    <xf numFmtId="165" fontId="0" fillId="0" borderId="0" xfId="0" applyNumberFormat="1"/>
    <xf numFmtId="9" fontId="0" fillId="0" borderId="0" xfId="0" applyNumberFormat="1"/>
    <xf numFmtId="44" fontId="0" fillId="0" borderId="0" xfId="0" applyNumberFormat="1"/>
    <xf numFmtId="10" fontId="0" fillId="0" borderId="0" xfId="0" applyNumberFormat="1"/>
    <xf numFmtId="0" fontId="0" fillId="0" borderId="0" xfId="0" applyAlignment="1">
      <alignment horizontal="center" vertical="center" wrapText="1"/>
    </xf>
    <xf numFmtId="0" fontId="2" fillId="0" borderId="0" xfId="0" applyFont="1" applyAlignment="1">
      <alignment horizontal="center" vertical="center" wrapText="1"/>
    </xf>
    <xf numFmtId="0" fontId="2" fillId="0" borderId="0" xfId="0" applyFont="1" applyAlignment="1">
      <alignment horizontal="center"/>
    </xf>
    <xf numFmtId="3" fontId="0" fillId="0" borderId="0" xfId="0" applyNumberFormat="1" applyAlignment="1">
      <alignment horizontal="center"/>
    </xf>
    <xf numFmtId="43" fontId="0" fillId="0" borderId="0" xfId="1" applyFont="1"/>
    <xf numFmtId="43" fontId="0" fillId="0" borderId="0" xfId="0" applyNumberFormat="1"/>
    <xf numFmtId="3" fontId="0" fillId="0" borderId="0" xfId="1" applyNumberFormat="1" applyFont="1" applyAlignment="1">
      <alignment horizontal="center"/>
    </xf>
    <xf numFmtId="16" fontId="0" fillId="0" borderId="0" xfId="0" applyNumberFormat="1"/>
    <xf numFmtId="14" fontId="0" fillId="0" borderId="0" xfId="0" applyNumberFormat="1"/>
    <xf numFmtId="43" fontId="0" fillId="0" borderId="0" xfId="1" applyFont="1" applyAlignment="1">
      <alignment horizontal="center"/>
    </xf>
    <xf numFmtId="44" fontId="0" fillId="5" borderId="5" xfId="2" applyFont="1" applyFill="1" applyBorder="1"/>
    <xf numFmtId="1" fontId="0" fillId="0" borderId="0" xfId="0" applyNumberFormat="1"/>
    <xf numFmtId="44" fontId="0" fillId="0" borderId="0" xfId="3" applyNumberFormat="1" applyFont="1"/>
    <xf numFmtId="44" fontId="0" fillId="4" borderId="3" xfId="2" applyFont="1" applyFill="1" applyBorder="1"/>
    <xf numFmtId="0" fontId="0" fillId="4" borderId="2" xfId="0" applyFill="1" applyBorder="1"/>
    <xf numFmtId="0" fontId="0" fillId="4" borderId="1" xfId="0" applyFill="1" applyBorder="1"/>
    <xf numFmtId="0" fontId="2" fillId="7" borderId="22" xfId="0" applyFont="1" applyFill="1" applyBorder="1"/>
    <xf numFmtId="44" fontId="0" fillId="0" borderId="19" xfId="0" applyNumberFormat="1" applyBorder="1"/>
    <xf numFmtId="0" fontId="0" fillId="4" borderId="6" xfId="0" applyFill="1" applyBorder="1"/>
    <xf numFmtId="0" fontId="0" fillId="4" borderId="8" xfId="0" applyFill="1" applyBorder="1"/>
    <xf numFmtId="0" fontId="0" fillId="4" borderId="5" xfId="0" applyFill="1" applyBorder="1"/>
    <xf numFmtId="0" fontId="0" fillId="4" borderId="20" xfId="0" applyFill="1" applyBorder="1"/>
    <xf numFmtId="0" fontId="0" fillId="4" borderId="4" xfId="0" applyFill="1" applyBorder="1" applyAlignment="1">
      <alignment horizontal="center"/>
    </xf>
    <xf numFmtId="166" fontId="0" fillId="0" borderId="0" xfId="0" applyNumberFormat="1"/>
    <xf numFmtId="10" fontId="0" fillId="0" borderId="0" xfId="3" applyNumberFormat="1" applyFont="1"/>
    <xf numFmtId="0" fontId="0" fillId="4" borderId="18" xfId="0" applyFill="1" applyBorder="1" applyAlignment="1">
      <alignment horizontal="center"/>
    </xf>
    <xf numFmtId="0" fontId="0" fillId="8" borderId="4" xfId="0" applyFill="1" applyBorder="1"/>
    <xf numFmtId="0" fontId="0" fillId="8" borderId="5" xfId="0" applyFill="1" applyBorder="1"/>
    <xf numFmtId="44" fontId="0" fillId="0" borderId="0" xfId="0" applyNumberFormat="1" applyAlignment="1">
      <alignment vertical="center"/>
    </xf>
    <xf numFmtId="9" fontId="0" fillId="0" borderId="0" xfId="3" applyFont="1" applyAlignment="1">
      <alignment vertical="center"/>
    </xf>
    <xf numFmtId="0" fontId="0" fillId="0" borderId="25" xfId="0" applyBorder="1"/>
    <xf numFmtId="43" fontId="2" fillId="9" borderId="3" xfId="1" applyFont="1" applyFill="1" applyBorder="1" applyAlignment="1">
      <alignment vertical="center"/>
    </xf>
    <xf numFmtId="0" fontId="0" fillId="0" borderId="24" xfId="0" applyBorder="1" applyAlignment="1">
      <alignment horizontal="center"/>
    </xf>
    <xf numFmtId="43" fontId="0" fillId="0" borderId="25" xfId="0" applyNumberFormat="1" applyBorder="1" applyAlignment="1">
      <alignment horizontal="center"/>
    </xf>
    <xf numFmtId="0" fontId="0" fillId="0" borderId="25" xfId="0" applyBorder="1" applyAlignment="1">
      <alignment horizontal="center"/>
    </xf>
    <xf numFmtId="43" fontId="0" fillId="0" borderId="25" xfId="1" applyFont="1" applyBorder="1"/>
    <xf numFmtId="0" fontId="2" fillId="9" borderId="1" xfId="0" applyFont="1" applyFill="1" applyBorder="1" applyAlignment="1">
      <alignment vertical="center"/>
    </xf>
    <xf numFmtId="0" fontId="2" fillId="9" borderId="2" xfId="0" applyFont="1" applyFill="1" applyBorder="1" applyAlignment="1">
      <alignment vertical="center"/>
    </xf>
    <xf numFmtId="44" fontId="0" fillId="0" borderId="0" xfId="2" applyFont="1" applyFill="1" applyBorder="1"/>
    <xf numFmtId="1" fontId="0" fillId="0" borderId="0" xfId="0" applyNumberFormat="1" applyAlignment="1">
      <alignment horizontal="center"/>
    </xf>
    <xf numFmtId="0" fontId="0" fillId="0" borderId="0" xfId="0" applyAlignment="1">
      <alignment vertical="center" wrapText="1"/>
    </xf>
    <xf numFmtId="0" fontId="0" fillId="0" borderId="6" xfId="0" applyBorder="1"/>
    <xf numFmtId="0" fontId="0" fillId="0" borderId="7" xfId="0" applyBorder="1"/>
    <xf numFmtId="44" fontId="0" fillId="0" borderId="7" xfId="2" applyFont="1" applyBorder="1"/>
    <xf numFmtId="0" fontId="0" fillId="0" borderId="8" xfId="0" applyBorder="1"/>
    <xf numFmtId="9" fontId="0" fillId="0" borderId="5" xfId="3" applyFont="1" applyBorder="1"/>
    <xf numFmtId="9" fontId="0" fillId="0" borderId="20" xfId="3" applyFont="1" applyBorder="1"/>
    <xf numFmtId="44" fontId="2" fillId="5" borderId="3" xfId="0" applyNumberFormat="1" applyFont="1" applyFill="1" applyBorder="1"/>
    <xf numFmtId="43" fontId="0" fillId="0" borderId="26" xfId="0" applyNumberFormat="1" applyBorder="1" applyAlignment="1">
      <alignment horizontal="center"/>
    </xf>
    <xf numFmtId="0" fontId="0" fillId="0" borderId="26" xfId="0" applyBorder="1" applyAlignment="1">
      <alignment horizontal="center"/>
    </xf>
    <xf numFmtId="43" fontId="0" fillId="0" borderId="26" xfId="1" applyFont="1" applyBorder="1"/>
    <xf numFmtId="10" fontId="0" fillId="10" borderId="0" xfId="0" applyNumberFormat="1" applyFill="1"/>
    <xf numFmtId="0" fontId="0" fillId="2" borderId="4" xfId="0" applyFill="1" applyBorder="1"/>
    <xf numFmtId="0" fontId="0" fillId="2" borderId="6" xfId="0" applyFill="1" applyBorder="1"/>
    <xf numFmtId="0" fontId="0" fillId="2" borderId="1" xfId="0" applyFill="1" applyBorder="1"/>
    <xf numFmtId="0" fontId="0" fillId="2" borderId="2" xfId="0" applyFill="1" applyBorder="1"/>
    <xf numFmtId="0" fontId="0" fillId="2" borderId="3" xfId="0" applyFill="1" applyBorder="1"/>
    <xf numFmtId="0" fontId="0" fillId="0" borderId="0" xfId="0" applyAlignment="1">
      <alignment horizontal="left" vertical="top"/>
    </xf>
    <xf numFmtId="0" fontId="4" fillId="0" borderId="31" xfId="0" applyFont="1" applyBorder="1" applyAlignment="1">
      <alignment vertical="top" wrapText="1"/>
    </xf>
    <xf numFmtId="0" fontId="4" fillId="0" borderId="33" xfId="0" applyFont="1" applyBorder="1" applyAlignment="1">
      <alignment vertical="top" wrapText="1"/>
    </xf>
    <xf numFmtId="0" fontId="5" fillId="0" borderId="0" xfId="0" applyFont="1" applyAlignment="1">
      <alignment horizontal="left" vertical="top"/>
    </xf>
    <xf numFmtId="0" fontId="6" fillId="0" borderId="39" xfId="0" applyFont="1" applyBorder="1" applyAlignment="1">
      <alignment horizontal="center" vertical="center" wrapText="1"/>
    </xf>
    <xf numFmtId="44" fontId="4" fillId="0" borderId="39" xfId="2" applyFont="1" applyFill="1" applyBorder="1" applyAlignment="1">
      <alignment horizontal="center" vertical="center" wrapText="1"/>
    </xf>
    <xf numFmtId="44" fontId="6" fillId="12" borderId="39" xfId="2" applyFont="1" applyFill="1" applyBorder="1" applyAlignment="1">
      <alignment horizontal="left" vertical="center" wrapText="1" indent="3"/>
    </xf>
    <xf numFmtId="0" fontId="5" fillId="0" borderId="0" xfId="0" applyFont="1" applyAlignment="1">
      <alignment horizontal="left" vertical="center"/>
    </xf>
    <xf numFmtId="1" fontId="7" fillId="13" borderId="39" xfId="0" applyNumberFormat="1" applyFont="1" applyFill="1" applyBorder="1" applyAlignment="1">
      <alignment horizontal="center" vertical="center" shrinkToFit="1"/>
    </xf>
    <xf numFmtId="0" fontId="8" fillId="13" borderId="39" xfId="0" applyFont="1" applyFill="1" applyBorder="1" applyAlignment="1">
      <alignment horizontal="left" vertical="center" wrapText="1"/>
    </xf>
    <xf numFmtId="0" fontId="10" fillId="13" borderId="39" xfId="0" applyFont="1" applyFill="1" applyBorder="1" applyAlignment="1">
      <alignment horizontal="center" vertical="center" wrapText="1"/>
    </xf>
    <xf numFmtId="44" fontId="10" fillId="13" borderId="39" xfId="4" applyFont="1" applyFill="1" applyBorder="1" applyAlignment="1">
      <alignment horizontal="center" vertical="center" wrapText="1"/>
    </xf>
    <xf numFmtId="44" fontId="11" fillId="13" borderId="39" xfId="4" applyFont="1" applyFill="1" applyBorder="1" applyAlignment="1">
      <alignment horizontal="left" vertical="center" wrapText="1"/>
    </xf>
    <xf numFmtId="0" fontId="10" fillId="0" borderId="0" xfId="0" applyFont="1" applyAlignment="1">
      <alignment horizontal="left" vertical="center"/>
    </xf>
    <xf numFmtId="0" fontId="12" fillId="0" borderId="22" xfId="0" applyFont="1" applyBorder="1" applyAlignment="1" applyProtection="1">
      <alignment horizontal="center" vertical="center" wrapText="1"/>
      <protection hidden="1"/>
    </xf>
    <xf numFmtId="0" fontId="13" fillId="0" borderId="39" xfId="0" applyFont="1" applyBorder="1" applyAlignment="1">
      <alignment horizontal="left" vertical="top" wrapText="1"/>
    </xf>
    <xf numFmtId="0" fontId="14" fillId="0" borderId="39" xfId="0" applyFont="1" applyBorder="1" applyAlignment="1">
      <alignment horizontal="center" vertical="center" wrapText="1"/>
    </xf>
    <xf numFmtId="2" fontId="15" fillId="0" borderId="39" xfId="0" applyNumberFormat="1" applyFont="1" applyBorder="1" applyAlignment="1">
      <alignment horizontal="center" vertical="center" shrinkToFit="1"/>
    </xf>
    <xf numFmtId="44" fontId="16" fillId="0" borderId="39" xfId="4" applyFont="1" applyFill="1" applyBorder="1" applyAlignment="1">
      <alignment horizontal="center" vertical="center" wrapText="1"/>
    </xf>
    <xf numFmtId="0" fontId="5" fillId="0" borderId="0" xfId="0" applyFont="1" applyAlignment="1">
      <alignment vertical="top"/>
    </xf>
    <xf numFmtId="0" fontId="0" fillId="0" borderId="0" xfId="0" applyAlignment="1" applyProtection="1">
      <alignment horizontal="center" vertical="center"/>
      <protection hidden="1"/>
    </xf>
    <xf numFmtId="0" fontId="2" fillId="0" borderId="0" xfId="0" applyFont="1" applyAlignment="1" applyProtection="1">
      <alignment vertical="center"/>
      <protection hidden="1"/>
    </xf>
    <xf numFmtId="0" fontId="17" fillId="0" borderId="39" xfId="0" applyFont="1" applyBorder="1" applyAlignment="1">
      <alignment horizontal="left" vertical="center" wrapText="1"/>
    </xf>
    <xf numFmtId="0" fontId="18" fillId="0" borderId="39" xfId="0" applyFont="1" applyBorder="1" applyAlignment="1">
      <alignment horizontal="center" vertical="center" wrapText="1"/>
    </xf>
    <xf numFmtId="4" fontId="15" fillId="0" borderId="39" xfId="0" applyNumberFormat="1" applyFont="1" applyBorder="1" applyAlignment="1">
      <alignment horizontal="center" vertical="center" shrinkToFit="1"/>
    </xf>
    <xf numFmtId="44" fontId="19" fillId="0" borderId="22" xfId="2" applyFont="1" applyBorder="1" applyAlignment="1" applyProtection="1">
      <alignment horizontal="center" vertical="center"/>
      <protection locked="0"/>
    </xf>
    <xf numFmtId="44" fontId="19" fillId="0" borderId="22" xfId="2" applyFont="1" applyBorder="1" applyAlignment="1" applyProtection="1">
      <alignment horizontal="center" vertical="center"/>
      <protection hidden="1"/>
    </xf>
    <xf numFmtId="4" fontId="0" fillId="0" borderId="0" xfId="0" applyNumberFormat="1" applyAlignment="1" applyProtection="1">
      <alignment horizontal="center" vertical="center"/>
      <protection hidden="1"/>
    </xf>
    <xf numFmtId="44" fontId="0" fillId="0" borderId="0" xfId="0" applyNumberFormat="1" applyAlignment="1" applyProtection="1">
      <alignment horizontal="center" vertical="center"/>
      <protection hidden="1"/>
    </xf>
    <xf numFmtId="0" fontId="0" fillId="0" borderId="0" xfId="0" applyAlignment="1" applyProtection="1">
      <alignment vertical="center"/>
      <protection hidden="1"/>
    </xf>
    <xf numFmtId="44" fontId="19" fillId="0" borderId="0" xfId="2" applyFont="1" applyBorder="1" applyAlignment="1" applyProtection="1">
      <alignment horizontal="center" vertical="center"/>
      <protection locked="0"/>
    </xf>
    <xf numFmtId="0" fontId="9" fillId="13" borderId="39" xfId="0" applyFont="1" applyFill="1" applyBorder="1" applyAlignment="1">
      <alignment horizontal="left" vertical="center" wrapText="1"/>
    </xf>
    <xf numFmtId="0" fontId="15" fillId="13" borderId="39" xfId="0" applyFont="1" applyFill="1" applyBorder="1" applyAlignment="1">
      <alignment horizontal="center" vertical="center" wrapText="1"/>
    </xf>
    <xf numFmtId="44" fontId="15" fillId="13" borderId="39" xfId="4" applyFont="1" applyFill="1" applyBorder="1" applyAlignment="1">
      <alignment horizontal="center" vertical="center" wrapText="1"/>
    </xf>
    <xf numFmtId="44" fontId="21" fillId="13" borderId="39" xfId="4" applyFont="1" applyFill="1" applyBorder="1" applyAlignment="1">
      <alignment horizontal="center" vertical="center" wrapText="1"/>
    </xf>
    <xf numFmtId="44" fontId="10" fillId="0" borderId="0" xfId="0" applyNumberFormat="1" applyFont="1" applyAlignment="1">
      <alignment horizontal="left" vertical="center"/>
    </xf>
    <xf numFmtId="0" fontId="0" fillId="0" borderId="0" xfId="0" applyProtection="1">
      <protection hidden="1"/>
    </xf>
    <xf numFmtId="0" fontId="17" fillId="0" borderId="39" xfId="0" applyFont="1" applyBorder="1" applyAlignment="1">
      <alignment horizontal="left" vertical="top" wrapText="1"/>
    </xf>
    <xf numFmtId="44" fontId="5" fillId="0" borderId="0" xfId="0" applyNumberFormat="1" applyFont="1" applyAlignment="1">
      <alignment horizontal="left" vertical="center"/>
    </xf>
    <xf numFmtId="0" fontId="22" fillId="4" borderId="22" xfId="0" applyFont="1" applyFill="1" applyBorder="1" applyAlignment="1" applyProtection="1">
      <alignment vertical="center"/>
      <protection hidden="1"/>
    </xf>
    <xf numFmtId="0" fontId="23" fillId="4" borderId="22" xfId="0" applyFont="1" applyFill="1" applyBorder="1" applyAlignment="1" applyProtection="1">
      <alignment horizontal="left" vertical="center"/>
      <protection hidden="1"/>
    </xf>
    <xf numFmtId="0" fontId="23" fillId="4" borderId="22" xfId="0" applyFont="1" applyFill="1" applyBorder="1" applyAlignment="1" applyProtection="1">
      <alignment horizontal="right" vertical="center"/>
      <protection hidden="1"/>
    </xf>
    <xf numFmtId="44" fontId="22" fillId="4" borderId="22" xfId="2" applyFont="1" applyFill="1" applyBorder="1" applyAlignment="1" applyProtection="1">
      <alignment horizontal="center" vertical="center"/>
      <protection hidden="1"/>
    </xf>
    <xf numFmtId="44" fontId="2" fillId="0" borderId="0" xfId="2" applyFont="1" applyProtection="1">
      <protection hidden="1"/>
    </xf>
    <xf numFmtId="0" fontId="2" fillId="0" borderId="0" xfId="0" applyFont="1" applyProtection="1">
      <protection hidden="1"/>
    </xf>
    <xf numFmtId="0" fontId="25" fillId="0" borderId="0" xfId="0" applyFont="1" applyAlignment="1">
      <alignment horizontal="left" vertical="center"/>
    </xf>
    <xf numFmtId="0" fontId="25" fillId="0" borderId="0" xfId="0" applyFont="1" applyAlignment="1">
      <alignment horizontal="left" vertical="top"/>
    </xf>
    <xf numFmtId="0" fontId="6" fillId="0" borderId="22" xfId="0" applyFont="1" applyBorder="1" applyAlignment="1">
      <alignment horizontal="center" vertical="center" wrapText="1"/>
    </xf>
    <xf numFmtId="0" fontId="6" fillId="0" borderId="22" xfId="0" applyFont="1" applyBorder="1" applyAlignment="1">
      <alignment horizontal="left" vertical="center" wrapText="1"/>
    </xf>
    <xf numFmtId="10" fontId="25" fillId="15" borderId="22" xfId="0" applyNumberFormat="1" applyFont="1" applyFill="1" applyBorder="1" applyAlignment="1">
      <alignment horizontal="left" vertical="center" shrinkToFit="1"/>
    </xf>
    <xf numFmtId="0" fontId="25" fillId="0" borderId="22" xfId="0" applyFont="1" applyBorder="1" applyAlignment="1">
      <alignment horizontal="left" vertical="center"/>
    </xf>
    <xf numFmtId="0" fontId="18" fillId="0" borderId="22" xfId="0" applyFont="1" applyBorder="1" applyAlignment="1">
      <alignment horizontal="center" vertical="top" wrapText="1"/>
    </xf>
    <xf numFmtId="0" fontId="18" fillId="0" borderId="22" xfId="0" applyFont="1" applyBorder="1" applyAlignment="1">
      <alignment horizontal="left" vertical="top" wrapText="1"/>
    </xf>
    <xf numFmtId="44" fontId="6" fillId="16" borderId="22" xfId="2" applyFont="1" applyFill="1" applyBorder="1" applyAlignment="1">
      <alignment horizontal="center" vertical="top" wrapText="1"/>
    </xf>
    <xf numFmtId="0" fontId="25" fillId="0" borderId="22" xfId="0" applyFont="1" applyBorder="1" applyAlignment="1">
      <alignment horizontal="center" vertical="center" wrapText="1" shrinkToFit="1"/>
    </xf>
    <xf numFmtId="0" fontId="25" fillId="0" borderId="22" xfId="0" applyFont="1" applyBorder="1" applyAlignment="1">
      <alignment horizontal="left" wrapText="1"/>
    </xf>
    <xf numFmtId="0" fontId="25" fillId="0" borderId="0" xfId="0" applyFont="1" applyAlignment="1">
      <alignment horizontal="left" wrapText="1"/>
    </xf>
    <xf numFmtId="0" fontId="25" fillId="0" borderId="22" xfId="0" applyFont="1" applyBorder="1" applyAlignment="1">
      <alignment horizontal="left" vertical="center" wrapText="1"/>
    </xf>
    <xf numFmtId="0" fontId="25" fillId="0" borderId="0" xfId="0" applyFont="1" applyAlignment="1">
      <alignment horizontal="left" vertical="center" wrapText="1"/>
    </xf>
    <xf numFmtId="1" fontId="25" fillId="0" borderId="22" xfId="0" applyNumberFormat="1" applyFont="1" applyBorder="1" applyAlignment="1">
      <alignment horizontal="center" vertical="center" wrapText="1" shrinkToFit="1"/>
    </xf>
    <xf numFmtId="0" fontId="25" fillId="0" borderId="22" xfId="0" applyFont="1" applyBorder="1" applyAlignment="1">
      <alignment horizontal="center" vertical="center" wrapText="1"/>
    </xf>
    <xf numFmtId="0" fontId="25" fillId="0" borderId="0" xfId="0" applyFont="1" applyAlignment="1">
      <alignment horizontal="center" vertical="center" wrapText="1"/>
    </xf>
    <xf numFmtId="44" fontId="16" fillId="0" borderId="39" xfId="4" applyFont="1" applyBorder="1" applyAlignment="1">
      <alignment horizontal="center" vertical="center" wrapText="1"/>
    </xf>
    <xf numFmtId="0" fontId="12" fillId="0" borderId="21" xfId="0" applyFont="1" applyBorder="1" applyAlignment="1" applyProtection="1">
      <alignment horizontal="center" vertical="center" wrapText="1"/>
      <protection hidden="1"/>
    </xf>
    <xf numFmtId="0" fontId="13" fillId="0" borderId="39" xfId="0" applyFont="1" applyBorder="1" applyAlignment="1">
      <alignment horizontal="left" vertical="center" wrapText="1"/>
    </xf>
    <xf numFmtId="44" fontId="16" fillId="0" borderId="41" xfId="4" applyFont="1" applyBorder="1" applyAlignment="1">
      <alignment horizontal="center" vertical="center" wrapText="1"/>
    </xf>
    <xf numFmtId="4" fontId="0" fillId="0" borderId="0" xfId="0" applyNumberFormat="1" applyProtection="1">
      <protection hidden="1"/>
    </xf>
    <xf numFmtId="44" fontId="5" fillId="0" borderId="0" xfId="0" applyNumberFormat="1" applyFont="1" applyAlignment="1">
      <alignment vertical="top"/>
    </xf>
    <xf numFmtId="44" fontId="5" fillId="0" borderId="0" xfId="0" applyNumberFormat="1" applyFont="1" applyAlignment="1">
      <alignment horizontal="left" vertical="top"/>
    </xf>
    <xf numFmtId="44" fontId="0" fillId="0" borderId="0" xfId="0" applyNumberFormat="1" applyProtection="1">
      <protection hidden="1"/>
    </xf>
    <xf numFmtId="0" fontId="25" fillId="0" borderId="22" xfId="0" applyFont="1" applyBorder="1" applyAlignment="1">
      <alignment horizontal="left" vertical="center" wrapText="1"/>
    </xf>
    <xf numFmtId="0" fontId="18" fillId="0" borderId="22" xfId="0" applyFont="1" applyBorder="1" applyAlignment="1">
      <alignment horizontal="left" vertical="top" wrapText="1"/>
    </xf>
    <xf numFmtId="0" fontId="18" fillId="15" borderId="22" xfId="0" applyFont="1" applyFill="1" applyBorder="1" applyAlignment="1">
      <alignment horizontal="left" vertical="top" wrapText="1"/>
    </xf>
    <xf numFmtId="0" fontId="0" fillId="0" borderId="22" xfId="0" applyBorder="1" applyAlignment="1">
      <alignment horizontal="center" vertical="top"/>
    </xf>
    <xf numFmtId="0" fontId="24" fillId="16" borderId="22" xfId="0" applyFont="1" applyFill="1" applyBorder="1" applyAlignment="1">
      <alignment horizontal="center" vertical="center" wrapText="1"/>
    </xf>
    <xf numFmtId="0" fontId="18" fillId="0" borderId="22" xfId="0" applyFont="1" applyBorder="1" applyAlignment="1">
      <alignment vertical="center" wrapText="1"/>
    </xf>
    <xf numFmtId="0" fontId="18" fillId="0" borderId="22" xfId="0" applyFont="1" applyBorder="1" applyAlignment="1">
      <alignment horizontal="left" vertical="center" wrapText="1"/>
    </xf>
    <xf numFmtId="0" fontId="6" fillId="16" borderId="22" xfId="0" applyFont="1" applyFill="1" applyBorder="1" applyAlignment="1">
      <alignment horizontal="left" vertical="center" wrapText="1"/>
    </xf>
    <xf numFmtId="4" fontId="0" fillId="0" borderId="0" xfId="0" applyNumberFormat="1" applyAlignment="1" applyProtection="1">
      <alignment horizontal="center" vertical="center"/>
      <protection hidden="1"/>
    </xf>
    <xf numFmtId="44" fontId="0" fillId="0" borderId="0" xfId="0" applyNumberFormat="1" applyAlignment="1" applyProtection="1">
      <alignment horizontal="center" vertical="center"/>
      <protection hidden="1"/>
    </xf>
    <xf numFmtId="0" fontId="0" fillId="0" borderId="0" xfId="0" applyAlignment="1" applyProtection="1">
      <alignment horizontal="center" vertical="center"/>
      <protection hidden="1"/>
    </xf>
    <xf numFmtId="44" fontId="10" fillId="0" borderId="0" xfId="0" applyNumberFormat="1" applyFont="1" applyAlignment="1">
      <alignment horizontal="center" vertical="center"/>
    </xf>
    <xf numFmtId="0" fontId="10" fillId="0" borderId="0" xfId="0" applyFont="1" applyAlignment="1">
      <alignment horizontal="center" vertical="center"/>
    </xf>
    <xf numFmtId="0" fontId="22" fillId="4" borderId="40" xfId="0" applyFont="1" applyFill="1" applyBorder="1" applyAlignment="1" applyProtection="1">
      <alignment horizontal="left" vertical="center"/>
      <protection hidden="1"/>
    </xf>
    <xf numFmtId="0" fontId="22" fillId="4" borderId="30" xfId="0" applyFont="1" applyFill="1" applyBorder="1" applyAlignment="1" applyProtection="1">
      <alignment horizontal="left" vertical="center"/>
      <protection hidden="1"/>
    </xf>
    <xf numFmtId="0" fontId="24" fillId="13" borderId="22" xfId="0" applyFont="1" applyFill="1" applyBorder="1" applyAlignment="1">
      <alignment horizontal="center" vertical="center" wrapText="1"/>
    </xf>
    <xf numFmtId="0" fontId="6" fillId="14" borderId="22" xfId="0" applyFont="1" applyFill="1" applyBorder="1" applyAlignment="1">
      <alignment horizontal="center" vertical="top" wrapText="1"/>
    </xf>
    <xf numFmtId="167" fontId="18" fillId="0" borderId="22" xfId="0" applyNumberFormat="1" applyFont="1" applyBorder="1" applyAlignment="1">
      <alignment horizontal="left" vertical="center" wrapText="1"/>
    </xf>
    <xf numFmtId="0" fontId="4" fillId="11" borderId="36" xfId="0" applyFont="1" applyFill="1" applyBorder="1" applyAlignment="1">
      <alignment horizontal="center" vertical="center" wrapText="1"/>
    </xf>
    <xf numFmtId="0" fontId="4" fillId="11" borderId="37" xfId="0" applyFont="1" applyFill="1" applyBorder="1" applyAlignment="1">
      <alignment horizontal="center" vertical="center" wrapText="1"/>
    </xf>
    <xf numFmtId="0" fontId="4" fillId="11" borderId="38" xfId="0" applyFont="1" applyFill="1" applyBorder="1" applyAlignment="1">
      <alignment horizontal="center" vertical="center" wrapText="1"/>
    </xf>
    <xf numFmtId="0" fontId="0" fillId="0" borderId="0" xfId="0" applyAlignment="1" applyProtection="1">
      <alignment horizontal="center"/>
      <protection hidden="1"/>
    </xf>
    <xf numFmtId="0" fontId="3" fillId="0" borderId="27" xfId="0" applyFont="1" applyBorder="1" applyAlignment="1">
      <alignment horizontal="center" vertical="center" wrapText="1"/>
    </xf>
    <xf numFmtId="0" fontId="0" fillId="0" borderId="28" xfId="0" applyBorder="1" applyAlignment="1">
      <alignment horizontal="center" vertical="center" wrapText="1"/>
    </xf>
    <xf numFmtId="0" fontId="0" fillId="0" borderId="29" xfId="0" applyBorder="1" applyAlignment="1">
      <alignment horizontal="center" vertical="center" wrapText="1"/>
    </xf>
    <xf numFmtId="0" fontId="0" fillId="0" borderId="30" xfId="0" applyBorder="1" applyAlignment="1">
      <alignment horizontal="center" vertical="top" wrapText="1"/>
    </xf>
    <xf numFmtId="0" fontId="0" fillId="0" borderId="22" xfId="0" applyBorder="1" applyAlignment="1">
      <alignment horizontal="center" vertical="top" wrapText="1"/>
    </xf>
    <xf numFmtId="0" fontId="4" fillId="0" borderId="0" xfId="0" applyFont="1" applyAlignment="1">
      <alignment horizontal="left" vertical="top" wrapText="1"/>
    </xf>
    <xf numFmtId="0" fontId="4" fillId="0" borderId="32" xfId="0" applyFont="1" applyBorder="1" applyAlignment="1">
      <alignment horizontal="left" vertical="top" wrapText="1"/>
    </xf>
    <xf numFmtId="0" fontId="4" fillId="0" borderId="34" xfId="0" applyFont="1" applyBorder="1" applyAlignment="1">
      <alignment horizontal="left" vertical="top" wrapText="1"/>
    </xf>
    <xf numFmtId="0" fontId="4" fillId="0" borderId="35" xfId="0" applyFont="1" applyBorder="1" applyAlignment="1">
      <alignment horizontal="left" vertical="top" wrapText="1"/>
    </xf>
    <xf numFmtId="0" fontId="0" fillId="6" borderId="0" xfId="0" applyFill="1" applyAlignment="1">
      <alignment horizontal="center"/>
    </xf>
    <xf numFmtId="0" fontId="0" fillId="0" borderId="0" xfId="0" applyAlignment="1">
      <alignment horizontal="center"/>
    </xf>
    <xf numFmtId="0" fontId="2" fillId="5" borderId="1" xfId="0" applyFont="1" applyFill="1" applyBorder="1" applyAlignment="1">
      <alignment horizontal="right"/>
    </xf>
    <xf numFmtId="0" fontId="2" fillId="5" borderId="2" xfId="0" applyFont="1" applyFill="1" applyBorder="1" applyAlignment="1">
      <alignment horizontal="right"/>
    </xf>
    <xf numFmtId="0" fontId="0" fillId="2" borderId="6" xfId="0" applyFill="1" applyBorder="1" applyAlignment="1">
      <alignment horizontal="center"/>
    </xf>
    <xf numFmtId="0" fontId="0" fillId="2" borderId="7" xfId="0" applyFill="1" applyBorder="1" applyAlignment="1">
      <alignment horizontal="center"/>
    </xf>
    <xf numFmtId="0" fontId="0" fillId="3" borderId="18" xfId="0" applyFill="1" applyBorder="1" applyAlignment="1">
      <alignment horizontal="center"/>
    </xf>
    <xf numFmtId="0" fontId="0" fillId="3" borderId="19" xfId="0" applyFill="1" applyBorder="1" applyAlignment="1">
      <alignment horizontal="center"/>
    </xf>
    <xf numFmtId="0" fontId="0" fillId="2" borderId="1" xfId="0" applyFill="1" applyBorder="1" applyAlignment="1">
      <alignment horizontal="center"/>
    </xf>
    <xf numFmtId="0" fontId="0" fillId="2" borderId="2" xfId="0" applyFill="1" applyBorder="1" applyAlignment="1">
      <alignment horizontal="center"/>
    </xf>
    <xf numFmtId="0" fontId="0" fillId="2" borderId="3" xfId="0" applyFill="1" applyBorder="1" applyAlignment="1">
      <alignment horizontal="center"/>
    </xf>
    <xf numFmtId="0" fontId="0" fillId="2" borderId="8" xfId="0" applyFill="1" applyBorder="1" applyAlignment="1">
      <alignment horizontal="center"/>
    </xf>
    <xf numFmtId="0" fontId="0" fillId="0" borderId="0" xfId="0" applyAlignment="1">
      <alignment horizontal="center" vertical="center" wrapText="1"/>
    </xf>
  </cellXfs>
  <cellStyles count="5">
    <cellStyle name="Moeda" xfId="2" builtinId="4"/>
    <cellStyle name="Moeda 2" xfId="4" xr:uid="{015E87ED-71D8-4078-98F2-E83B91E5919F}"/>
    <cellStyle name="Normal" xfId="0" builtinId="0"/>
    <cellStyle name="Porcentagem" xfId="3" builtinId="5"/>
    <cellStyle name="Vírgula" xfId="1" builtinId="3"/>
  </cellStyles>
  <dxfs count="15">
    <dxf>
      <numFmt numFmtId="34" formatCode="_-&quot;R$&quot;\ * #,##0.00_-;\-&quot;R$&quot;\ * #,##0.00_-;_-&quot;R$&quot;\ * &quot;-&quot;??_-;_-@_-"/>
      <fill>
        <patternFill patternType="none">
          <fgColor indexed="64"/>
          <bgColor indexed="65"/>
        </patternFill>
      </fill>
    </dxf>
    <dxf>
      <numFmt numFmtId="34" formatCode="_-&quot;R$&quot;\ * #,##0.00_-;\-&quot;R$&quot;\ * #,##0.00_-;_-&quot;R$&quot;\ * &quot;-&quot;??_-;_-@_-"/>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ill>
        <patternFill patternType="none">
          <fgColor indexed="64"/>
          <bgColor indexed="65"/>
        </patternFill>
      </fill>
      <alignment horizontal="center" vertical="bottom" textRotation="0" wrapText="0" indent="0" justifyLastLine="0" shrinkToFit="0" readingOrder="0"/>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ill>
        <patternFill patternType="none">
          <fgColor indexed="64"/>
          <bgColor indexed="65"/>
        </patternFill>
      </fill>
      <alignment vertical="center" textRotation="0" wrapText="1"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1.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17/10/relationships/person" Target="persons/perso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4</xdr:col>
      <xdr:colOff>49530</xdr:colOff>
      <xdr:row>0</xdr:row>
      <xdr:rowOff>74295</xdr:rowOff>
    </xdr:from>
    <xdr:to>
      <xdr:col>5</xdr:col>
      <xdr:colOff>1213337</xdr:colOff>
      <xdr:row>4</xdr:row>
      <xdr:rowOff>65848</xdr:rowOff>
    </xdr:to>
    <xdr:pic>
      <xdr:nvPicPr>
        <xdr:cNvPr id="2" name="Imagem 1" descr="tranjap logo">
          <a:extLst>
            <a:ext uri="{FF2B5EF4-FFF2-40B4-BE49-F238E27FC236}">
              <a16:creationId xmlns:a16="http://schemas.microsoft.com/office/drawing/2014/main" id="{42A6FCC8-CA42-4797-9382-6A842626B66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279005" y="74295"/>
          <a:ext cx="2182982" cy="92500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twoCellAnchor>
    <xdr:from>
      <xdr:col>4</xdr:col>
      <xdr:colOff>49530</xdr:colOff>
      <xdr:row>0</xdr:row>
      <xdr:rowOff>74295</xdr:rowOff>
    </xdr:from>
    <xdr:to>
      <xdr:col>5</xdr:col>
      <xdr:colOff>1213337</xdr:colOff>
      <xdr:row>4</xdr:row>
      <xdr:rowOff>65848</xdr:rowOff>
    </xdr:to>
    <xdr:pic>
      <xdr:nvPicPr>
        <xdr:cNvPr id="2" name="Imagem 1" descr="tranjap logo">
          <a:extLst>
            <a:ext uri="{FF2B5EF4-FFF2-40B4-BE49-F238E27FC236}">
              <a16:creationId xmlns:a16="http://schemas.microsoft.com/office/drawing/2014/main" id="{491B8223-F43E-4236-92C8-17CE3DEB076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279005" y="74295"/>
          <a:ext cx="2182982" cy="92500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externalLinks/_rels/externalLink1.xml.rels><?xml version="1.0" encoding="UTF-8" standalone="yes"?>
<Relationships xmlns="http://schemas.openxmlformats.org/package/2006/relationships"><Relationship Id="rId3" Type="http://schemas.openxmlformats.org/officeDocument/2006/relationships/externalLinkPath" Target="../../../../2025/01-CUSTOS%20TERRAPLENAGEM/CUSTOS%20TERRAPLENAGEM%20DAFAZENDA%20EMPREENDIMENTOS%20LTDA%20REV02%20171025.xlsx" TargetMode="External"/><Relationship Id="rId2" Type="http://schemas.openxmlformats.org/officeDocument/2006/relationships/externalLinkPath" Target="https://d.docs.live.net/9a927a4fa5fe0acc/Documentos/2025/01-CUSTOS%20TERRAPLENAGEM/CUSTOS%20TERRAPLENAGEM%20DAFAZENDA%20EMPREENDIMENTOS%20LTDA%20REV02%20171025.xlsx" TargetMode="External"/><Relationship Id="rId1" Type="http://schemas.openxmlformats.org/officeDocument/2006/relationships/externalLinkPath" Target="/9a927a4fa5fe0acc/Documentos/2025/01-CUSTOS%20TERRAPLENAGEM/CUSTOS%20TERRAPLENAGEM%20DAFAZENDA%20EMPREENDIMENTOS%20LTDA%20REV02%20171025.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ORÇAMENTO "/>
      <sheetName val="Composição de Preços "/>
      <sheetName val="Dados do Contrato "/>
      <sheetName val="Dados Equipamentos "/>
      <sheetName val="Custos de Diesel "/>
      <sheetName val="Custo de Manutenção "/>
      <sheetName val="Custo de Mão de Obra"/>
      <sheetName val="Custos Indirétos "/>
      <sheetName val="Dados Transporte "/>
    </sheetNames>
    <sheetDataSet>
      <sheetData sheetId="0"/>
      <sheetData sheetId="1"/>
      <sheetData sheetId="2">
        <row r="4">
          <cell r="C4">
            <v>267991.82160000002</v>
          </cell>
        </row>
        <row r="5">
          <cell r="B5">
            <v>0</v>
          </cell>
        </row>
        <row r="6">
          <cell r="B6">
            <v>0</v>
          </cell>
        </row>
        <row r="16">
          <cell r="C16"/>
        </row>
        <row r="17">
          <cell r="B17" t="str">
            <v>M³ In Situ</v>
          </cell>
        </row>
        <row r="18">
          <cell r="B18">
            <v>228.07038194444442</v>
          </cell>
        </row>
      </sheetData>
      <sheetData sheetId="3">
        <row r="5">
          <cell r="G5">
            <v>864.00000000000011</v>
          </cell>
        </row>
        <row r="6">
          <cell r="I6">
            <v>1382.4</v>
          </cell>
        </row>
        <row r="7">
          <cell r="G7">
            <v>2160.0000000000005</v>
          </cell>
        </row>
        <row r="8">
          <cell r="G8">
            <v>2592.0000000000005</v>
          </cell>
        </row>
        <row r="19">
          <cell r="G19">
            <v>4500</v>
          </cell>
        </row>
      </sheetData>
      <sheetData sheetId="4"/>
      <sheetData sheetId="5"/>
      <sheetData sheetId="6"/>
      <sheetData sheetId="7"/>
      <sheetData sheetId="8"/>
    </sheetDataSet>
  </externalBook>
</externalLink>
</file>

<file path=xl/persons/person.xml><?xml version="1.0" encoding="utf-8"?>
<personList xmlns="http://schemas.microsoft.com/office/spreadsheetml/2018/threadedcomments" xmlns:x="http://schemas.openxmlformats.org/spreadsheetml/2006/mai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9906D50F-DEB7-4F10-A497-42EF89DF4AD7}" name="Tabela2" displayName="Tabela2" ref="A3:M22" totalsRowShown="0" headerRowDxfId="14" dataDxfId="13" dataCellStyle="Moeda">
  <autoFilter ref="A3:M22" xr:uid="{9906D50F-DEB7-4F10-A497-42EF89DF4AD7}"/>
  <tableColumns count="13">
    <tableColumn id="1" xr3:uid="{A5CBAC40-83E2-4B60-A2B8-284989452E47}" name="Descrição " dataDxfId="12" dataCellStyle="Moeda"/>
    <tableColumn id="2" xr3:uid="{F0F79FEC-54A4-476E-9DEC-89B62954B6F4}" name="Quant." dataDxfId="11"/>
    <tableColumn id="3" xr3:uid="{69862FD6-EEF9-451A-A475-DE0A48E0F561}" name="Custo H Diesel " dataDxfId="10" dataCellStyle="Moeda"/>
    <tableColumn id="4" xr3:uid="{0952FB17-DA0D-4A4F-91B1-0BBA7EB46EEF}" name="Total Diesel " dataDxfId="9" dataCellStyle="Moeda"/>
    <tableColumn id="5" xr3:uid="{BB994311-8B3E-4A2C-8920-5F64FC22F791}" name="Custo H Manutenção " dataDxfId="8" dataCellStyle="Moeda"/>
    <tableColumn id="6" xr3:uid="{ECDC100B-E208-4DFF-9EC4-E2E8F370AC60}" name="Total Manutenção " dataDxfId="7" dataCellStyle="Moeda"/>
    <tableColumn id="7" xr3:uid="{D94B66B9-9089-4763-9598-FD2EC54AF2BE}" name="Custo H.H." dataDxfId="6" dataCellStyle="Moeda"/>
    <tableColumn id="8" xr3:uid="{72E95E5A-8A15-4F06-A4D7-C9BDF882AEC6}" name="Total H. Homem" dataDxfId="5" dataCellStyle="Moeda"/>
    <tableColumn id="9" xr3:uid="{FCB18788-5A10-4800-88BD-131515C2229C}" name="Custos H Indirétos " dataDxfId="4" dataCellStyle="Moeda"/>
    <tableColumn id="10" xr3:uid="{E56ECAB5-FF9F-4966-BDC1-F31EC155E247}" name="Total Indirétos " dataDxfId="3" dataCellStyle="Moeda"/>
    <tableColumn id="11" xr3:uid="{1F31CDFB-C6E7-4701-ADF9-5D918DD168F3}" name="Coluna11" dataDxfId="2" dataCellStyle="Moeda"/>
    <tableColumn id="12" xr3:uid="{2CCB01EE-3792-43C5-862E-BFA92557C46B}" name="Total de Custos " dataDxfId="1"/>
    <tableColumn id="13" xr3:uid="{9E00CB93-0F3F-45AB-A196-78E93A3DEF2D}" name="Total de Custo Mensal " dataDxfId="0"/>
  </tableColumns>
  <tableStyleInfo name="TableStyleMedium1" showFirstColumn="0" showLastColumn="0" showRowStripes="1" showColumnStripes="0"/>
</table>
</file>

<file path=xl/theme/theme1.xml><?xml version="1.0" encoding="utf-8"?>
<a:theme xmlns:a="http://schemas.openxmlformats.org/drawingml/2006/main" name="Tema do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4CB447-5432-465B-A007-BF3B14534121}">
  <dimension ref="A1:O34"/>
  <sheetViews>
    <sheetView topLeftCell="A7" zoomScaleNormal="100" zoomScaleSheetLayoutView="100" workbookViewId="0">
      <selection activeCell="D11" sqref="D11"/>
    </sheetView>
  </sheetViews>
  <sheetFormatPr defaultColWidth="9.109375" defaultRowHeight="14.4" x14ac:dyDescent="0.3"/>
  <cols>
    <col min="1" max="1" width="9.6640625" style="133" customWidth="1"/>
    <col min="2" max="2" width="73.6640625" style="133" customWidth="1"/>
    <col min="3" max="3" width="9.6640625" style="133" customWidth="1"/>
    <col min="4" max="5" width="15.33203125" style="133" customWidth="1"/>
    <col min="6" max="6" width="18.5546875" style="133" customWidth="1"/>
    <col min="7" max="7" width="19.33203125" style="133" customWidth="1"/>
    <col min="8" max="8" width="9.5546875" style="133" bestFit="1" customWidth="1"/>
    <col min="9" max="16384" width="9.109375" style="133"/>
  </cols>
  <sheetData>
    <row r="1" spans="1:15" s="97" customFormat="1" ht="28.95" customHeight="1" x14ac:dyDescent="0.3">
      <c r="A1" s="189" t="s">
        <v>108</v>
      </c>
      <c r="B1" s="190"/>
      <c r="C1" s="190"/>
      <c r="D1" s="191"/>
      <c r="E1" s="192"/>
      <c r="F1" s="193"/>
    </row>
    <row r="2" spans="1:15" s="97" customFormat="1" x14ac:dyDescent="0.3">
      <c r="A2" s="98" t="s">
        <v>109</v>
      </c>
      <c r="B2" s="194" t="s">
        <v>160</v>
      </c>
      <c r="C2" s="194"/>
      <c r="D2" s="195"/>
      <c r="E2" s="192"/>
      <c r="F2" s="193"/>
    </row>
    <row r="3" spans="1:15" s="97" customFormat="1" x14ac:dyDescent="0.3">
      <c r="A3" s="98" t="s">
        <v>110</v>
      </c>
      <c r="B3" s="194" t="s">
        <v>161</v>
      </c>
      <c r="C3" s="194"/>
      <c r="D3" s="195"/>
      <c r="E3" s="192"/>
      <c r="F3" s="193"/>
    </row>
    <row r="4" spans="1:15" s="97" customFormat="1" x14ac:dyDescent="0.3">
      <c r="A4" s="98" t="s">
        <v>111</v>
      </c>
      <c r="B4" s="194" t="s">
        <v>159</v>
      </c>
      <c r="C4" s="194"/>
      <c r="D4" s="195"/>
      <c r="E4" s="192"/>
      <c r="F4" s="193"/>
    </row>
    <row r="5" spans="1:15" s="97" customFormat="1" x14ac:dyDescent="0.3">
      <c r="A5" s="99" t="s">
        <v>112</v>
      </c>
      <c r="B5" s="196" t="s">
        <v>162</v>
      </c>
      <c r="C5" s="196"/>
      <c r="D5" s="197"/>
      <c r="E5" s="192"/>
      <c r="F5" s="193"/>
    </row>
    <row r="6" spans="1:15" s="100" customFormat="1" ht="31.5" customHeight="1" x14ac:dyDescent="0.3">
      <c r="A6" s="185" t="s">
        <v>113</v>
      </c>
      <c r="B6" s="186"/>
      <c r="C6" s="186"/>
      <c r="D6" s="186"/>
      <c r="E6" s="186"/>
      <c r="F6" s="187"/>
    </row>
    <row r="7" spans="1:15" s="104" customFormat="1" ht="27.6" x14ac:dyDescent="0.3">
      <c r="A7" s="101" t="s">
        <v>114</v>
      </c>
      <c r="B7" s="101" t="s">
        <v>115</v>
      </c>
      <c r="C7" s="101" t="s">
        <v>116</v>
      </c>
      <c r="D7" s="101" t="s">
        <v>117</v>
      </c>
      <c r="E7" s="102" t="s">
        <v>118</v>
      </c>
      <c r="F7" s="103" t="s">
        <v>119</v>
      </c>
    </row>
    <row r="8" spans="1:15" s="110" customFormat="1" ht="21" customHeight="1" x14ac:dyDescent="0.3">
      <c r="A8" s="105">
        <v>1</v>
      </c>
      <c r="B8" s="106" t="s">
        <v>120</v>
      </c>
      <c r="C8" s="107"/>
      <c r="D8" s="107"/>
      <c r="E8" s="108"/>
      <c r="F8" s="109"/>
    </row>
    <row r="9" spans="1:15" s="100" customFormat="1" ht="17.25" customHeight="1" x14ac:dyDescent="0.3">
      <c r="A9" s="111" t="s">
        <v>121</v>
      </c>
      <c r="B9" s="112" t="s">
        <v>122</v>
      </c>
      <c r="C9" s="113" t="s">
        <v>123</v>
      </c>
      <c r="D9" s="114">
        <v>2</v>
      </c>
      <c r="E9" s="115">
        <v>12000</v>
      </c>
      <c r="F9" s="159">
        <f>D9*E9</f>
        <v>24000</v>
      </c>
      <c r="H9" s="116"/>
      <c r="I9" s="116"/>
      <c r="J9" s="116"/>
    </row>
    <row r="10" spans="1:15" s="118" customFormat="1" ht="21" customHeight="1" x14ac:dyDescent="0.3">
      <c r="A10" s="105">
        <v>2</v>
      </c>
      <c r="B10" s="106" t="s">
        <v>124</v>
      </c>
      <c r="C10" s="107"/>
      <c r="D10" s="107"/>
      <c r="E10" s="108"/>
      <c r="F10" s="109"/>
      <c r="G10" s="117"/>
      <c r="H10" s="177"/>
      <c r="I10" s="177"/>
      <c r="J10" s="188"/>
      <c r="K10" s="188"/>
      <c r="L10" s="177"/>
      <c r="M10" s="177"/>
    </row>
    <row r="11" spans="1:15" s="126" customFormat="1" ht="28.8" x14ac:dyDescent="0.3">
      <c r="A11" s="111" t="s">
        <v>125</v>
      </c>
      <c r="B11" s="119" t="s">
        <v>126</v>
      </c>
      <c r="C11" s="120" t="s">
        <v>127</v>
      </c>
      <c r="D11" s="121">
        <v>13321.1</v>
      </c>
      <c r="E11" s="122">
        <v>1.32</v>
      </c>
      <c r="F11" s="123">
        <f>D11*E11</f>
        <v>17583.852000000003</v>
      </c>
      <c r="G11" s="124"/>
      <c r="H11" s="175"/>
      <c r="I11" s="175"/>
      <c r="J11" s="176"/>
      <c r="K11" s="177"/>
      <c r="L11" s="176"/>
      <c r="M11" s="177"/>
    </row>
    <row r="12" spans="1:15" s="126" customFormat="1" ht="57.6" x14ac:dyDescent="0.3">
      <c r="A12" s="111" t="s">
        <v>128</v>
      </c>
      <c r="B12" s="119" t="s">
        <v>164</v>
      </c>
      <c r="C12" s="120" t="s">
        <v>129</v>
      </c>
      <c r="D12" s="121">
        <f>D11*0.3</f>
        <v>3996.33</v>
      </c>
      <c r="E12" s="127">
        <v>74.215000000000003</v>
      </c>
      <c r="F12" s="123">
        <f>D12*E12</f>
        <v>296587.63095000002</v>
      </c>
      <c r="G12" s="124"/>
      <c r="H12" s="124"/>
      <c r="I12" s="124"/>
      <c r="J12" s="125"/>
      <c r="K12" s="117"/>
      <c r="L12" s="125"/>
      <c r="M12" s="117"/>
    </row>
    <row r="13" spans="1:15" s="110" customFormat="1" ht="21" customHeight="1" x14ac:dyDescent="0.3">
      <c r="A13" s="105">
        <v>3</v>
      </c>
      <c r="B13" s="128" t="s">
        <v>130</v>
      </c>
      <c r="C13" s="107"/>
      <c r="D13" s="129"/>
      <c r="E13" s="130"/>
      <c r="F13" s="131"/>
      <c r="G13" s="132"/>
      <c r="H13" s="178"/>
      <c r="I13" s="179"/>
      <c r="J13" s="178"/>
      <c r="K13" s="179"/>
      <c r="L13" s="133"/>
      <c r="M13" s="133"/>
      <c r="N13" s="133"/>
      <c r="O13" s="133"/>
    </row>
    <row r="14" spans="1:15" s="104" customFormat="1" ht="46.2" customHeight="1" x14ac:dyDescent="0.3">
      <c r="A14" s="111" t="s">
        <v>131</v>
      </c>
      <c r="B14" s="134" t="s">
        <v>165</v>
      </c>
      <c r="C14" s="120" t="s">
        <v>129</v>
      </c>
      <c r="D14" s="121">
        <v>12981.27</v>
      </c>
      <c r="E14" s="115">
        <v>6.68</v>
      </c>
      <c r="F14" s="123">
        <f t="shared" ref="F14" si="0">D14*E14</f>
        <v>86714.883600000001</v>
      </c>
      <c r="G14" s="135"/>
      <c r="J14" s="133"/>
      <c r="K14" s="133"/>
      <c r="L14" s="133"/>
      <c r="M14" s="133"/>
      <c r="N14" s="133"/>
      <c r="O14" s="133"/>
    </row>
    <row r="15" spans="1:15" s="118" customFormat="1" ht="21" customHeight="1" x14ac:dyDescent="0.3">
      <c r="A15" s="105">
        <v>4</v>
      </c>
      <c r="B15" s="106" t="s">
        <v>132</v>
      </c>
      <c r="C15" s="107"/>
      <c r="D15" s="107"/>
      <c r="E15" s="108"/>
      <c r="F15" s="109"/>
      <c r="H15" s="133"/>
      <c r="I15" s="133"/>
      <c r="J15" s="133"/>
      <c r="K15" s="133"/>
      <c r="L15" s="133"/>
      <c r="M15" s="133"/>
      <c r="N15" s="133"/>
      <c r="O15" s="133"/>
    </row>
    <row r="16" spans="1:15" s="126" customFormat="1" ht="43.2" x14ac:dyDescent="0.3">
      <c r="A16" s="111" t="s">
        <v>133</v>
      </c>
      <c r="B16" s="112" t="s">
        <v>134</v>
      </c>
      <c r="C16" s="120" t="s">
        <v>129</v>
      </c>
      <c r="D16" s="121">
        <v>12981.27</v>
      </c>
      <c r="E16" s="122">
        <v>10.7745</v>
      </c>
      <c r="F16" s="123">
        <f>D16*E16</f>
        <v>139866.693615</v>
      </c>
      <c r="H16" s="133"/>
      <c r="I16" s="133"/>
      <c r="J16" s="133"/>
      <c r="K16" s="133"/>
      <c r="L16" s="133"/>
      <c r="M16" s="133"/>
      <c r="N16" s="133"/>
      <c r="O16" s="133"/>
    </row>
    <row r="17" spans="1:15" s="126" customFormat="1" ht="21.75" hidden="1" customHeight="1" x14ac:dyDescent="0.3">
      <c r="A17" s="111" t="s">
        <v>135</v>
      </c>
      <c r="B17" s="119" t="s">
        <v>136</v>
      </c>
      <c r="C17" s="120" t="s">
        <v>129</v>
      </c>
      <c r="D17" s="121">
        <v>0</v>
      </c>
      <c r="E17" s="122">
        <v>2.85</v>
      </c>
      <c r="F17" s="123">
        <f>D17*E17</f>
        <v>0</v>
      </c>
      <c r="H17" s="133"/>
      <c r="I17" s="133"/>
      <c r="J17" s="133"/>
      <c r="K17" s="133"/>
      <c r="L17" s="133"/>
      <c r="M17" s="133"/>
      <c r="N17" s="133"/>
      <c r="O17" s="133"/>
    </row>
    <row r="18" spans="1:15" s="141" customFormat="1" ht="24" customHeight="1" x14ac:dyDescent="0.3">
      <c r="A18" s="180" t="s">
        <v>168</v>
      </c>
      <c r="B18" s="181"/>
      <c r="C18" s="136"/>
      <c r="D18" s="137"/>
      <c r="E18" s="138" t="s">
        <v>137</v>
      </c>
      <c r="F18" s="139">
        <f>SUM(F9:F17)</f>
        <v>564753.06016500003</v>
      </c>
      <c r="G18" s="140"/>
      <c r="H18" s="133"/>
      <c r="I18" s="133"/>
      <c r="J18" s="133"/>
      <c r="K18" s="133"/>
      <c r="L18" s="133"/>
      <c r="M18" s="133"/>
      <c r="N18" s="133"/>
      <c r="O18" s="133"/>
    </row>
    <row r="19" spans="1:15" s="97" customFormat="1" x14ac:dyDescent="0.3">
      <c r="A19" s="170"/>
      <c r="B19" s="170"/>
      <c r="C19" s="170"/>
      <c r="D19" s="170"/>
      <c r="E19" s="170"/>
      <c r="F19" s="170"/>
      <c r="H19" s="133"/>
      <c r="I19" s="133"/>
      <c r="J19" s="133"/>
      <c r="K19" s="133"/>
      <c r="L19" s="133"/>
      <c r="M19" s="133"/>
      <c r="N19" s="133"/>
      <c r="O19" s="133"/>
    </row>
    <row r="20" spans="1:15" s="142" customFormat="1" ht="21.75" customHeight="1" x14ac:dyDescent="0.3">
      <c r="A20" s="182" t="s">
        <v>138</v>
      </c>
      <c r="B20" s="182"/>
      <c r="C20" s="182"/>
      <c r="D20" s="182"/>
      <c r="E20" s="182"/>
      <c r="F20" s="182"/>
      <c r="H20" s="133"/>
      <c r="I20" s="133"/>
      <c r="J20" s="133"/>
      <c r="K20" s="133"/>
      <c r="L20" s="133"/>
      <c r="M20" s="133"/>
      <c r="N20" s="133"/>
      <c r="O20" s="133"/>
    </row>
    <row r="21" spans="1:15" s="143" customFormat="1" ht="12.75" customHeight="1" x14ac:dyDescent="0.3">
      <c r="A21" s="183" t="s">
        <v>139</v>
      </c>
      <c r="B21" s="183"/>
      <c r="C21" s="183"/>
      <c r="D21" s="183"/>
      <c r="E21" s="183"/>
      <c r="F21" s="183"/>
      <c r="H21" s="133"/>
      <c r="I21" s="133"/>
      <c r="J21" s="133"/>
      <c r="K21" s="133"/>
      <c r="L21" s="133"/>
      <c r="M21" s="133"/>
      <c r="N21" s="133"/>
      <c r="O21" s="133"/>
    </row>
    <row r="22" spans="1:15" s="142" customFormat="1" ht="22.5" customHeight="1" x14ac:dyDescent="0.3">
      <c r="A22" s="144" t="s">
        <v>140</v>
      </c>
      <c r="B22" s="145" t="s">
        <v>141</v>
      </c>
      <c r="C22" s="146">
        <v>0.15</v>
      </c>
      <c r="D22" s="184">
        <f>F18*C22</f>
        <v>84712.959024750002</v>
      </c>
      <c r="E22" s="184"/>
      <c r="F22" s="184"/>
      <c r="H22" s="133"/>
      <c r="I22" s="133"/>
      <c r="J22" s="133"/>
      <c r="K22" s="133"/>
      <c r="L22" s="133"/>
      <c r="M22" s="133"/>
      <c r="N22" s="133"/>
      <c r="O22" s="133"/>
    </row>
    <row r="23" spans="1:15" s="142" customFormat="1" ht="18.75" customHeight="1" x14ac:dyDescent="0.3">
      <c r="A23" s="144" t="s">
        <v>142</v>
      </c>
      <c r="B23" s="145" t="s">
        <v>143</v>
      </c>
      <c r="C23" s="146">
        <v>0.85</v>
      </c>
      <c r="D23" s="184">
        <f>F18*C23</f>
        <v>480040.10114024999</v>
      </c>
      <c r="E23" s="184"/>
      <c r="F23" s="184"/>
      <c r="H23" s="133"/>
      <c r="I23" s="133"/>
      <c r="J23" s="133"/>
      <c r="K23" s="133"/>
      <c r="L23" s="133"/>
      <c r="M23" s="133"/>
      <c r="N23" s="133"/>
      <c r="O23" s="133"/>
    </row>
    <row r="24" spans="1:15" s="142" customFormat="1" ht="18.75" customHeight="1" x14ac:dyDescent="0.3">
      <c r="A24" s="147"/>
      <c r="B24" s="174" t="s">
        <v>144</v>
      </c>
      <c r="C24" s="174"/>
      <c r="D24" s="174"/>
      <c r="E24" s="174"/>
      <c r="F24" s="174"/>
      <c r="H24" s="133"/>
      <c r="I24" s="133"/>
      <c r="J24" s="133"/>
      <c r="K24" s="133"/>
      <c r="L24" s="133"/>
      <c r="M24" s="133"/>
      <c r="N24" s="133"/>
      <c r="O24" s="133"/>
    </row>
    <row r="25" spans="1:15" s="143" customFormat="1" ht="18" customHeight="1" x14ac:dyDescent="0.3">
      <c r="A25" s="148" t="s">
        <v>145</v>
      </c>
      <c r="B25" s="149" t="s">
        <v>146</v>
      </c>
      <c r="C25" s="169" t="s">
        <v>147</v>
      </c>
      <c r="D25" s="169"/>
      <c r="E25" s="169"/>
      <c r="F25" s="169"/>
      <c r="H25" s="133"/>
      <c r="I25" s="133"/>
      <c r="J25" s="133"/>
      <c r="K25" s="133"/>
      <c r="L25" s="133"/>
      <c r="M25" s="133"/>
      <c r="N25" s="133"/>
      <c r="O25" s="133"/>
    </row>
    <row r="26" spans="1:15" s="143" customFormat="1" ht="17.25" customHeight="1" x14ac:dyDescent="0.3">
      <c r="A26" s="148" t="s">
        <v>148</v>
      </c>
      <c r="B26" s="149" t="s">
        <v>149</v>
      </c>
      <c r="C26" s="169" t="s">
        <v>157</v>
      </c>
      <c r="D26" s="169"/>
      <c r="E26" s="169"/>
      <c r="F26" s="169"/>
      <c r="H26" s="133"/>
      <c r="I26" s="133"/>
      <c r="J26" s="133"/>
      <c r="K26" s="133"/>
      <c r="L26" s="133"/>
      <c r="M26" s="133"/>
      <c r="N26" s="133"/>
      <c r="O26" s="133"/>
    </row>
    <row r="27" spans="1:15" s="97" customFormat="1" x14ac:dyDescent="0.3">
      <c r="A27" s="170"/>
      <c r="B27" s="170"/>
      <c r="C27" s="170"/>
      <c r="D27" s="170"/>
      <c r="E27" s="170"/>
      <c r="F27" s="170"/>
      <c r="H27" s="133"/>
      <c r="I27" s="133"/>
      <c r="J27" s="133"/>
      <c r="K27" s="133"/>
      <c r="L27" s="133"/>
      <c r="M27" s="133"/>
      <c r="N27" s="133"/>
      <c r="O27" s="133"/>
    </row>
    <row r="28" spans="1:15" s="143" customFormat="1" ht="29.25" customHeight="1" x14ac:dyDescent="0.3">
      <c r="A28" s="171" t="s">
        <v>150</v>
      </c>
      <c r="B28" s="171"/>
      <c r="C28" s="171"/>
      <c r="D28" s="171"/>
      <c r="E28" s="171"/>
      <c r="F28" s="150" t="s">
        <v>151</v>
      </c>
      <c r="H28" s="133"/>
      <c r="I28" s="133"/>
      <c r="J28" s="133"/>
      <c r="K28" s="133"/>
      <c r="L28" s="133"/>
      <c r="M28" s="133"/>
      <c r="N28" s="133"/>
      <c r="O28" s="133"/>
    </row>
    <row r="29" spans="1:15" s="153" customFormat="1" ht="16.5" customHeight="1" x14ac:dyDescent="0.3">
      <c r="A29" s="151">
        <v>1</v>
      </c>
      <c r="B29" s="172" t="s">
        <v>152</v>
      </c>
      <c r="C29" s="172"/>
      <c r="D29" s="172"/>
      <c r="E29" s="172"/>
      <c r="F29" s="152"/>
      <c r="H29" s="133"/>
      <c r="I29" s="133"/>
      <c r="J29" s="133"/>
      <c r="K29" s="133"/>
      <c r="L29" s="133"/>
      <c r="M29" s="133"/>
      <c r="N29" s="133"/>
      <c r="O29" s="133"/>
    </row>
    <row r="30" spans="1:15" s="155" customFormat="1" ht="53.25" customHeight="1" x14ac:dyDescent="0.3">
      <c r="A30" s="151">
        <v>2</v>
      </c>
      <c r="B30" s="173" t="s">
        <v>167</v>
      </c>
      <c r="C30" s="173"/>
      <c r="D30" s="173"/>
      <c r="E30" s="173"/>
      <c r="F30" s="154"/>
      <c r="H30" s="133"/>
      <c r="I30" s="133"/>
      <c r="J30" s="133"/>
      <c r="K30" s="133"/>
      <c r="L30" s="133"/>
      <c r="M30" s="133"/>
      <c r="N30" s="133"/>
      <c r="O30" s="133"/>
    </row>
    <row r="31" spans="1:15" s="158" customFormat="1" ht="57" customHeight="1" x14ac:dyDescent="0.3">
      <c r="A31" s="156">
        <v>3</v>
      </c>
      <c r="B31" s="167" t="s">
        <v>153</v>
      </c>
      <c r="C31" s="167"/>
      <c r="D31" s="167"/>
      <c r="E31" s="167"/>
      <c r="F31" s="157"/>
      <c r="H31" s="133"/>
      <c r="I31" s="133"/>
      <c r="J31" s="133"/>
      <c r="K31" s="133"/>
      <c r="L31" s="133"/>
      <c r="M31" s="133"/>
      <c r="N31" s="133"/>
      <c r="O31" s="133"/>
    </row>
    <row r="32" spans="1:15" s="153" customFormat="1" ht="30.75" customHeight="1" x14ac:dyDescent="0.3">
      <c r="A32" s="156">
        <v>4</v>
      </c>
      <c r="B32" s="168" t="s">
        <v>154</v>
      </c>
      <c r="C32" s="168"/>
      <c r="D32" s="168"/>
      <c r="E32" s="168"/>
      <c r="F32" s="152"/>
      <c r="H32" s="133"/>
      <c r="I32" s="133"/>
      <c r="J32" s="133"/>
      <c r="K32" s="133"/>
      <c r="L32" s="133"/>
      <c r="M32" s="133"/>
      <c r="N32" s="133"/>
      <c r="O32" s="133"/>
    </row>
    <row r="33" spans="1:15" s="153" customFormat="1" ht="30.75" customHeight="1" x14ac:dyDescent="0.3">
      <c r="A33" s="156">
        <v>5</v>
      </c>
      <c r="B33" s="168" t="s">
        <v>155</v>
      </c>
      <c r="C33" s="168"/>
      <c r="D33" s="168"/>
      <c r="E33" s="168"/>
      <c r="F33" s="152"/>
      <c r="H33" s="133"/>
      <c r="I33" s="133"/>
      <c r="J33" s="133"/>
      <c r="K33" s="133"/>
      <c r="L33" s="133"/>
      <c r="M33" s="133"/>
      <c r="N33" s="133"/>
      <c r="O33" s="133"/>
    </row>
    <row r="34" spans="1:15" s="153" customFormat="1" ht="68.25" customHeight="1" x14ac:dyDescent="0.3">
      <c r="A34" s="156">
        <v>6</v>
      </c>
      <c r="B34" s="168" t="s">
        <v>156</v>
      </c>
      <c r="C34" s="168"/>
      <c r="D34" s="168"/>
      <c r="E34" s="168"/>
      <c r="F34" s="152"/>
      <c r="H34" s="133"/>
      <c r="I34" s="133"/>
      <c r="J34" s="133"/>
      <c r="K34" s="133"/>
      <c r="L34" s="133"/>
      <c r="M34" s="133"/>
      <c r="N34" s="133"/>
      <c r="O34" s="133"/>
    </row>
  </sheetData>
  <mergeCells count="32">
    <mergeCell ref="B34:E34"/>
    <mergeCell ref="A28:E28"/>
    <mergeCell ref="B29:E29"/>
    <mergeCell ref="B30:E30"/>
    <mergeCell ref="B31:E31"/>
    <mergeCell ref="B32:E32"/>
    <mergeCell ref="B33:E33"/>
    <mergeCell ref="A27:F27"/>
    <mergeCell ref="H13:I13"/>
    <mergeCell ref="J13:K13"/>
    <mergeCell ref="A18:B18"/>
    <mergeCell ref="A19:F19"/>
    <mergeCell ref="A20:F20"/>
    <mergeCell ref="A21:F21"/>
    <mergeCell ref="D22:F22"/>
    <mergeCell ref="D23:F23"/>
    <mergeCell ref="B24:F24"/>
    <mergeCell ref="C25:F25"/>
    <mergeCell ref="C26:F26"/>
    <mergeCell ref="A6:F6"/>
    <mergeCell ref="H10:I10"/>
    <mergeCell ref="J10:K10"/>
    <mergeCell ref="L10:M10"/>
    <mergeCell ref="H11:I11"/>
    <mergeCell ref="J11:K11"/>
    <mergeCell ref="L11:M11"/>
    <mergeCell ref="A1:D1"/>
    <mergeCell ref="E1:F5"/>
    <mergeCell ref="B2:D2"/>
    <mergeCell ref="B3:D3"/>
    <mergeCell ref="B4:D4"/>
    <mergeCell ref="B5:D5"/>
  </mergeCells>
  <pageMargins left="0.51181102362204722" right="0.51181102362204722" top="0.78740157480314965" bottom="0.78740157480314965" header="0.31496062992125984" footer="0.31496062992125984"/>
  <pageSetup paperSize="9" scale="64"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364A86-CFCD-4B53-9AE3-5DDEDF2E638E}">
  <sheetPr>
    <tabColor rgb="FFFF0000"/>
  </sheetPr>
  <dimension ref="A1:O36"/>
  <sheetViews>
    <sheetView zoomScaleNormal="100" zoomScaleSheetLayoutView="100" workbookViewId="0">
      <selection activeCell="G14" sqref="G14"/>
    </sheetView>
  </sheetViews>
  <sheetFormatPr defaultColWidth="9.109375" defaultRowHeight="14.4" x14ac:dyDescent="0.3"/>
  <cols>
    <col min="1" max="1" width="9.6640625" style="133" customWidth="1"/>
    <col min="2" max="2" width="73.6640625" style="133" customWidth="1"/>
    <col min="3" max="3" width="9.6640625" style="133" customWidth="1"/>
    <col min="4" max="5" width="15.33203125" style="133" customWidth="1"/>
    <col min="6" max="6" width="18.5546875" style="133" customWidth="1"/>
    <col min="7" max="7" width="19.33203125" style="133" customWidth="1"/>
    <col min="8" max="9" width="12.88671875" style="133" bestFit="1" customWidth="1"/>
    <col min="10" max="16384" width="9.109375" style="133"/>
  </cols>
  <sheetData>
    <row r="1" spans="1:15" s="97" customFormat="1" ht="28.95" customHeight="1" x14ac:dyDescent="0.3">
      <c r="A1" s="189" t="s">
        <v>108</v>
      </c>
      <c r="B1" s="190"/>
      <c r="C1" s="190"/>
      <c r="D1" s="191"/>
      <c r="E1" s="192"/>
      <c r="F1" s="193"/>
    </row>
    <row r="2" spans="1:15" s="97" customFormat="1" x14ac:dyDescent="0.3">
      <c r="A2" s="98" t="s">
        <v>109</v>
      </c>
      <c r="B2" s="194" t="s">
        <v>160</v>
      </c>
      <c r="C2" s="194"/>
      <c r="D2" s="195"/>
      <c r="E2" s="192"/>
      <c r="F2" s="193"/>
    </row>
    <row r="3" spans="1:15" s="97" customFormat="1" x14ac:dyDescent="0.3">
      <c r="A3" s="98" t="s">
        <v>110</v>
      </c>
      <c r="B3" s="194" t="s">
        <v>161</v>
      </c>
      <c r="C3" s="194"/>
      <c r="D3" s="195"/>
      <c r="E3" s="192"/>
      <c r="F3" s="193"/>
    </row>
    <row r="4" spans="1:15" s="97" customFormat="1" x14ac:dyDescent="0.3">
      <c r="A4" s="98" t="s">
        <v>111</v>
      </c>
      <c r="B4" s="194" t="s">
        <v>159</v>
      </c>
      <c r="C4" s="194"/>
      <c r="D4" s="195"/>
      <c r="E4" s="192"/>
      <c r="F4" s="193"/>
    </row>
    <row r="5" spans="1:15" s="97" customFormat="1" x14ac:dyDescent="0.3">
      <c r="A5" s="99" t="s">
        <v>112</v>
      </c>
      <c r="B5" s="196" t="s">
        <v>162</v>
      </c>
      <c r="C5" s="196"/>
      <c r="D5" s="197"/>
      <c r="E5" s="192"/>
      <c r="F5" s="193"/>
    </row>
    <row r="6" spans="1:15" s="100" customFormat="1" ht="31.5" customHeight="1" x14ac:dyDescent="0.3">
      <c r="A6" s="185" t="s">
        <v>113</v>
      </c>
      <c r="B6" s="186"/>
      <c r="C6" s="186"/>
      <c r="D6" s="186"/>
      <c r="E6" s="186"/>
      <c r="F6" s="187"/>
    </row>
    <row r="7" spans="1:15" s="104" customFormat="1" ht="27.6" x14ac:dyDescent="0.3">
      <c r="A7" s="101" t="s">
        <v>114</v>
      </c>
      <c r="B7" s="101" t="s">
        <v>115</v>
      </c>
      <c r="C7" s="101" t="s">
        <v>116</v>
      </c>
      <c r="D7" s="101" t="s">
        <v>117</v>
      </c>
      <c r="E7" s="102" t="s">
        <v>118</v>
      </c>
      <c r="F7" s="103" t="s">
        <v>119</v>
      </c>
    </row>
    <row r="8" spans="1:15" s="110" customFormat="1" ht="21" customHeight="1" x14ac:dyDescent="0.3">
      <c r="A8" s="105">
        <v>1</v>
      </c>
      <c r="B8" s="106" t="s">
        <v>120</v>
      </c>
      <c r="C8" s="107"/>
      <c r="D8" s="107"/>
      <c r="E8" s="108"/>
      <c r="F8" s="109"/>
    </row>
    <row r="9" spans="1:15" s="100" customFormat="1" ht="17.25" customHeight="1" x14ac:dyDescent="0.3">
      <c r="A9" s="111" t="s">
        <v>121</v>
      </c>
      <c r="B9" s="112" t="s">
        <v>122</v>
      </c>
      <c r="C9" s="113" t="s">
        <v>123</v>
      </c>
      <c r="D9" s="114">
        <v>2</v>
      </c>
      <c r="E9" s="115">
        <v>12000</v>
      </c>
      <c r="F9" s="159">
        <f>D9*E9</f>
        <v>24000</v>
      </c>
      <c r="H9" s="164">
        <f>F9</f>
        <v>24000</v>
      </c>
      <c r="I9" s="116"/>
      <c r="J9" s="116"/>
    </row>
    <row r="10" spans="1:15" s="100" customFormat="1" ht="21" customHeight="1" x14ac:dyDescent="0.3">
      <c r="A10" s="160" t="s">
        <v>169</v>
      </c>
      <c r="B10" s="161" t="s">
        <v>170</v>
      </c>
      <c r="C10" s="113" t="s">
        <v>123</v>
      </c>
      <c r="D10" s="114">
        <v>1.5</v>
      </c>
      <c r="E10" s="115">
        <v>22000</v>
      </c>
      <c r="F10" s="162">
        <f>D10*E10</f>
        <v>33000</v>
      </c>
      <c r="H10" s="165">
        <f>F10</f>
        <v>33000</v>
      </c>
    </row>
    <row r="11" spans="1:15" s="118" customFormat="1" ht="21" customHeight="1" x14ac:dyDescent="0.3">
      <c r="A11" s="105">
        <v>2</v>
      </c>
      <c r="B11" s="106" t="s">
        <v>124</v>
      </c>
      <c r="C11" s="107"/>
      <c r="D11" s="107"/>
      <c r="E11" s="108"/>
      <c r="F11" s="109"/>
      <c r="G11" s="117"/>
      <c r="H11" s="177"/>
      <c r="I11" s="177"/>
      <c r="J11" s="188"/>
      <c r="K11" s="188"/>
      <c r="L11" s="177"/>
      <c r="M11" s="177"/>
    </row>
    <row r="12" spans="1:15" s="126" customFormat="1" ht="28.8" x14ac:dyDescent="0.3">
      <c r="A12" s="111" t="s">
        <v>125</v>
      </c>
      <c r="B12" s="119" t="s">
        <v>126</v>
      </c>
      <c r="C12" s="120" t="s">
        <v>127</v>
      </c>
      <c r="D12" s="121">
        <v>13321.1</v>
      </c>
      <c r="E12" s="122">
        <v>1.32</v>
      </c>
      <c r="F12" s="123">
        <f>D12*E12</f>
        <v>17583.852000000003</v>
      </c>
      <c r="G12" s="124"/>
      <c r="H12" s="175">
        <f>F12</f>
        <v>17583.852000000003</v>
      </c>
      <c r="I12" s="175"/>
      <c r="J12" s="176"/>
      <c r="K12" s="177"/>
      <c r="L12" s="176"/>
      <c r="M12" s="177"/>
    </row>
    <row r="13" spans="1:15" s="126" customFormat="1" ht="64.5" customHeight="1" x14ac:dyDescent="0.3">
      <c r="A13" s="111" t="s">
        <v>128</v>
      </c>
      <c r="B13" s="119" t="s">
        <v>171</v>
      </c>
      <c r="C13" s="120" t="s">
        <v>129</v>
      </c>
      <c r="D13" s="121">
        <f>D12*0.3</f>
        <v>3996.33</v>
      </c>
      <c r="E13" s="127">
        <v>6.68</v>
      </c>
      <c r="F13" s="123">
        <f>D13*E13</f>
        <v>26695.484399999998</v>
      </c>
      <c r="G13" s="124">
        <v>6.68</v>
      </c>
      <c r="H13" s="124">
        <f>G13*D13</f>
        <v>26695.484399999998</v>
      </c>
      <c r="I13" s="124"/>
      <c r="J13" s="125"/>
      <c r="K13" s="117"/>
      <c r="L13" s="125"/>
      <c r="M13" s="117"/>
    </row>
    <row r="14" spans="1:15" s="126" customFormat="1" ht="63.75" customHeight="1" x14ac:dyDescent="0.3">
      <c r="A14" s="111" t="s">
        <v>172</v>
      </c>
      <c r="B14" s="80" t="s">
        <v>178</v>
      </c>
      <c r="C14" s="120" t="s">
        <v>173</v>
      </c>
      <c r="D14" s="121">
        <v>100</v>
      </c>
      <c r="E14" s="122">
        <v>53.24</v>
      </c>
      <c r="F14" s="123">
        <f>D14*E14</f>
        <v>5324</v>
      </c>
      <c r="G14" s="124"/>
      <c r="H14" s="175">
        <f>F14</f>
        <v>5324</v>
      </c>
      <c r="I14" s="175"/>
      <c r="J14" s="176"/>
      <c r="K14" s="177"/>
      <c r="L14" s="176"/>
      <c r="M14" s="177"/>
    </row>
    <row r="15" spans="1:15" s="110" customFormat="1" ht="21" customHeight="1" x14ac:dyDescent="0.3">
      <c r="A15" s="105">
        <v>3</v>
      </c>
      <c r="B15" s="128" t="s">
        <v>130</v>
      </c>
      <c r="C15" s="107"/>
      <c r="D15" s="129"/>
      <c r="E15" s="130"/>
      <c r="F15" s="131"/>
      <c r="G15" s="132"/>
      <c r="H15" s="178"/>
      <c r="I15" s="179"/>
      <c r="J15" s="178"/>
      <c r="K15" s="179"/>
      <c r="L15" s="133"/>
      <c r="M15" s="133"/>
      <c r="N15" s="133"/>
      <c r="O15" s="133"/>
    </row>
    <row r="16" spans="1:15" s="104" customFormat="1" ht="46.2" customHeight="1" x14ac:dyDescent="0.3">
      <c r="A16" s="111" t="s">
        <v>131</v>
      </c>
      <c r="B16" s="134" t="s">
        <v>165</v>
      </c>
      <c r="C16" s="120" t="s">
        <v>129</v>
      </c>
      <c r="D16" s="121">
        <v>12981.27</v>
      </c>
      <c r="E16" s="115">
        <v>6.68</v>
      </c>
      <c r="F16" s="123">
        <f t="shared" ref="F16" si="0">D16*E16</f>
        <v>86714.883600000001</v>
      </c>
      <c r="G16" s="135">
        <v>6.68</v>
      </c>
      <c r="H16" s="135">
        <f>G16*D16</f>
        <v>86714.883600000001</v>
      </c>
      <c r="J16" s="133"/>
      <c r="K16" s="133"/>
      <c r="L16" s="133"/>
      <c r="M16" s="133"/>
      <c r="N16" s="133"/>
      <c r="O16" s="133"/>
    </row>
    <row r="17" spans="1:15" s="118" customFormat="1" ht="21" customHeight="1" x14ac:dyDescent="0.3">
      <c r="A17" s="105">
        <v>4</v>
      </c>
      <c r="B17" s="106" t="s">
        <v>132</v>
      </c>
      <c r="C17" s="107"/>
      <c r="D17" s="107"/>
      <c r="E17" s="108"/>
      <c r="F17" s="109"/>
      <c r="H17" s="133"/>
      <c r="I17" s="133"/>
      <c r="J17" s="133"/>
      <c r="K17" s="133"/>
      <c r="L17" s="133"/>
      <c r="M17" s="133"/>
      <c r="N17" s="133"/>
      <c r="O17" s="133"/>
    </row>
    <row r="18" spans="1:15" s="126" customFormat="1" ht="43.2" x14ac:dyDescent="0.3">
      <c r="A18" s="111" t="s">
        <v>133</v>
      </c>
      <c r="B18" s="112" t="s">
        <v>134</v>
      </c>
      <c r="C18" s="120" t="s">
        <v>129</v>
      </c>
      <c r="D18" s="121">
        <v>12981.27</v>
      </c>
      <c r="E18" s="122">
        <v>10.77</v>
      </c>
      <c r="F18" s="123">
        <f>D18*E18</f>
        <v>139808.27789999999</v>
      </c>
      <c r="G18" s="126">
        <v>7.99</v>
      </c>
      <c r="H18" s="133">
        <f>G18*D18</f>
        <v>103720.34730000001</v>
      </c>
      <c r="I18" s="133"/>
      <c r="J18" s="133"/>
      <c r="K18" s="133"/>
      <c r="L18" s="133"/>
      <c r="M18" s="133"/>
      <c r="N18" s="133"/>
      <c r="O18" s="133"/>
    </row>
    <row r="19" spans="1:15" s="126" customFormat="1" ht="21.75" hidden="1" customHeight="1" x14ac:dyDescent="0.3">
      <c r="A19" s="111" t="s">
        <v>135</v>
      </c>
      <c r="B19" s="119" t="s">
        <v>136</v>
      </c>
      <c r="C19" s="120" t="s">
        <v>129</v>
      </c>
      <c r="D19" s="121">
        <v>0</v>
      </c>
      <c r="E19" s="122">
        <v>2.85</v>
      </c>
      <c r="F19" s="123">
        <f>D19*E19</f>
        <v>0</v>
      </c>
      <c r="H19" s="133"/>
      <c r="I19" s="133"/>
      <c r="J19" s="133"/>
      <c r="K19" s="133"/>
      <c r="L19" s="133"/>
      <c r="M19" s="133"/>
      <c r="N19" s="133"/>
      <c r="O19" s="133"/>
    </row>
    <row r="20" spans="1:15" s="141" customFormat="1" ht="24" customHeight="1" x14ac:dyDescent="0.3">
      <c r="A20" s="180" t="s">
        <v>175</v>
      </c>
      <c r="B20" s="181"/>
      <c r="C20" s="136"/>
      <c r="D20" s="137"/>
      <c r="E20" s="138" t="s">
        <v>137</v>
      </c>
      <c r="F20" s="139">
        <f>SUM(F9:F19)</f>
        <v>333126.49789999996</v>
      </c>
      <c r="G20" s="140"/>
      <c r="H20" s="163">
        <f>SUM(H9:I18)</f>
        <v>297038.5673</v>
      </c>
      <c r="I20" s="166">
        <f>H20-F20</f>
        <v>-36087.930599999963</v>
      </c>
      <c r="J20" s="133"/>
      <c r="K20" s="133"/>
      <c r="L20" s="133"/>
      <c r="M20" s="133"/>
      <c r="N20" s="133"/>
      <c r="O20" s="133"/>
    </row>
    <row r="21" spans="1:15" s="97" customFormat="1" x14ac:dyDescent="0.3">
      <c r="A21" s="170"/>
      <c r="B21" s="170"/>
      <c r="C21" s="170"/>
      <c r="D21" s="170"/>
      <c r="E21" s="170"/>
      <c r="F21" s="170"/>
      <c r="H21" s="133"/>
      <c r="I21" s="133"/>
      <c r="J21" s="133"/>
      <c r="K21" s="133"/>
      <c r="L21" s="133"/>
      <c r="M21" s="133"/>
      <c r="N21" s="133"/>
      <c r="O21" s="133"/>
    </row>
    <row r="22" spans="1:15" s="142" customFormat="1" ht="21.75" customHeight="1" x14ac:dyDescent="0.3">
      <c r="A22" s="182" t="s">
        <v>138</v>
      </c>
      <c r="B22" s="182"/>
      <c r="C22" s="182"/>
      <c r="D22" s="182"/>
      <c r="E22" s="182"/>
      <c r="F22" s="182"/>
      <c r="H22" s="133"/>
      <c r="I22" s="133"/>
      <c r="J22" s="133"/>
      <c r="K22" s="133"/>
      <c r="L22" s="133"/>
      <c r="M22" s="133"/>
      <c r="N22" s="133"/>
      <c r="O22" s="133"/>
    </row>
    <row r="23" spans="1:15" s="143" customFormat="1" ht="12.75" customHeight="1" x14ac:dyDescent="0.3">
      <c r="A23" s="183" t="s">
        <v>139</v>
      </c>
      <c r="B23" s="183"/>
      <c r="C23" s="183"/>
      <c r="D23" s="183"/>
      <c r="E23" s="183"/>
      <c r="F23" s="183"/>
      <c r="H23" s="133"/>
      <c r="I23" s="133"/>
      <c r="J23" s="133"/>
      <c r="K23" s="133"/>
      <c r="L23" s="133"/>
      <c r="M23" s="133"/>
      <c r="N23" s="133"/>
      <c r="O23" s="133"/>
    </row>
    <row r="24" spans="1:15" s="142" customFormat="1" ht="22.5" customHeight="1" x14ac:dyDescent="0.3">
      <c r="A24" s="144" t="s">
        <v>140</v>
      </c>
      <c r="B24" s="145" t="s">
        <v>141</v>
      </c>
      <c r="C24" s="146">
        <v>0.15</v>
      </c>
      <c r="D24" s="184">
        <f>F20*C24</f>
        <v>49968.974684999994</v>
      </c>
      <c r="E24" s="184"/>
      <c r="F24" s="184"/>
      <c r="H24" s="133"/>
      <c r="I24" s="133"/>
      <c r="J24" s="133"/>
      <c r="K24" s="133"/>
      <c r="L24" s="133"/>
      <c r="M24" s="133"/>
      <c r="N24" s="133"/>
      <c r="O24" s="133"/>
    </row>
    <row r="25" spans="1:15" s="142" customFormat="1" ht="18.75" customHeight="1" x14ac:dyDescent="0.3">
      <c r="A25" s="144" t="s">
        <v>142</v>
      </c>
      <c r="B25" s="145" t="s">
        <v>143</v>
      </c>
      <c r="C25" s="146">
        <v>0.85</v>
      </c>
      <c r="D25" s="184">
        <f>F20*C25</f>
        <v>283157.52321499994</v>
      </c>
      <c r="E25" s="184"/>
      <c r="F25" s="184"/>
      <c r="H25" s="133"/>
      <c r="I25" s="133"/>
      <c r="J25" s="133"/>
      <c r="K25" s="133"/>
      <c r="L25" s="133"/>
      <c r="M25" s="133"/>
      <c r="N25" s="133"/>
      <c r="O25" s="133"/>
    </row>
    <row r="26" spans="1:15" s="142" customFormat="1" ht="18.75" customHeight="1" x14ac:dyDescent="0.3">
      <c r="A26" s="147"/>
      <c r="B26" s="174" t="s">
        <v>144</v>
      </c>
      <c r="C26" s="174"/>
      <c r="D26" s="174"/>
      <c r="E26" s="174"/>
      <c r="F26" s="174"/>
      <c r="H26" s="133"/>
      <c r="I26" s="133"/>
      <c r="J26" s="133"/>
      <c r="K26" s="133"/>
      <c r="L26" s="133"/>
      <c r="M26" s="133"/>
      <c r="N26" s="133"/>
      <c r="O26" s="133"/>
    </row>
    <row r="27" spans="1:15" s="143" customFormat="1" ht="18" customHeight="1" x14ac:dyDescent="0.3">
      <c r="A27" s="148" t="s">
        <v>145</v>
      </c>
      <c r="B27" s="149" t="s">
        <v>146</v>
      </c>
      <c r="C27" s="169" t="s">
        <v>147</v>
      </c>
      <c r="D27" s="169"/>
      <c r="E27" s="169"/>
      <c r="F27" s="169"/>
      <c r="H27" s="133"/>
      <c r="I27" s="133"/>
      <c r="J27" s="133"/>
      <c r="K27" s="133"/>
      <c r="L27" s="133"/>
      <c r="M27" s="133"/>
      <c r="N27" s="133"/>
      <c r="O27" s="133"/>
    </row>
    <row r="28" spans="1:15" s="143" customFormat="1" ht="17.25" customHeight="1" x14ac:dyDescent="0.3">
      <c r="A28" s="148" t="s">
        <v>148</v>
      </c>
      <c r="B28" s="149" t="s">
        <v>149</v>
      </c>
      <c r="C28" s="169" t="s">
        <v>176</v>
      </c>
      <c r="D28" s="169"/>
      <c r="E28" s="169"/>
      <c r="F28" s="169"/>
      <c r="H28" s="133"/>
      <c r="I28" s="133"/>
      <c r="J28" s="133"/>
      <c r="K28" s="133"/>
      <c r="L28" s="133"/>
      <c r="M28" s="133"/>
      <c r="N28" s="133"/>
      <c r="O28" s="133"/>
    </row>
    <row r="29" spans="1:15" s="97" customFormat="1" x14ac:dyDescent="0.3">
      <c r="A29" s="170"/>
      <c r="B29" s="170"/>
      <c r="C29" s="170"/>
      <c r="D29" s="170"/>
      <c r="E29" s="170"/>
      <c r="F29" s="170"/>
      <c r="H29" s="133"/>
      <c r="I29" s="133"/>
      <c r="J29" s="133"/>
      <c r="K29" s="133"/>
      <c r="L29" s="133"/>
      <c r="M29" s="133"/>
      <c r="N29" s="133"/>
      <c r="O29" s="133"/>
    </row>
    <row r="30" spans="1:15" s="143" customFormat="1" ht="29.25" customHeight="1" x14ac:dyDescent="0.3">
      <c r="A30" s="171" t="s">
        <v>150</v>
      </c>
      <c r="B30" s="171"/>
      <c r="C30" s="171"/>
      <c r="D30" s="171"/>
      <c r="E30" s="171"/>
      <c r="F30" s="150" t="s">
        <v>151</v>
      </c>
      <c r="H30" s="133"/>
      <c r="I30" s="133"/>
      <c r="J30" s="133"/>
      <c r="K30" s="133"/>
      <c r="L30" s="133"/>
      <c r="M30" s="133"/>
      <c r="N30" s="133"/>
      <c r="O30" s="133"/>
    </row>
    <row r="31" spans="1:15" s="153" customFormat="1" ht="16.5" customHeight="1" x14ac:dyDescent="0.3">
      <c r="A31" s="151">
        <v>1</v>
      </c>
      <c r="B31" s="172" t="s">
        <v>152</v>
      </c>
      <c r="C31" s="172"/>
      <c r="D31" s="172"/>
      <c r="E31" s="172"/>
      <c r="F31" s="152"/>
      <c r="H31" s="133"/>
      <c r="I31" s="133"/>
      <c r="J31" s="133"/>
      <c r="K31" s="133"/>
      <c r="L31" s="133"/>
      <c r="M31" s="133"/>
      <c r="N31" s="133"/>
      <c r="O31" s="133"/>
    </row>
    <row r="32" spans="1:15" s="155" customFormat="1" ht="53.25" customHeight="1" x14ac:dyDescent="0.3">
      <c r="A32" s="151">
        <v>2</v>
      </c>
      <c r="B32" s="173" t="s">
        <v>174</v>
      </c>
      <c r="C32" s="173"/>
      <c r="D32" s="173"/>
      <c r="E32" s="173"/>
      <c r="F32" s="154"/>
      <c r="H32" s="133"/>
      <c r="I32" s="133"/>
      <c r="J32" s="133"/>
      <c r="K32" s="133"/>
      <c r="L32" s="133"/>
      <c r="M32" s="133"/>
      <c r="N32" s="133"/>
      <c r="O32" s="133"/>
    </row>
    <row r="33" spans="1:15" s="158" customFormat="1" ht="57" customHeight="1" x14ac:dyDescent="0.3">
      <c r="A33" s="156">
        <v>3</v>
      </c>
      <c r="B33" s="167" t="s">
        <v>177</v>
      </c>
      <c r="C33" s="167"/>
      <c r="D33" s="167"/>
      <c r="E33" s="167"/>
      <c r="F33" s="157"/>
      <c r="H33" s="133"/>
      <c r="I33" s="133"/>
      <c r="J33" s="133"/>
      <c r="K33" s="133"/>
      <c r="L33" s="133"/>
      <c r="M33" s="133"/>
      <c r="N33" s="133"/>
      <c r="O33" s="133"/>
    </row>
    <row r="34" spans="1:15" s="153" customFormat="1" ht="30.75" customHeight="1" x14ac:dyDescent="0.3">
      <c r="A34" s="156">
        <v>4</v>
      </c>
      <c r="B34" s="168" t="s">
        <v>154</v>
      </c>
      <c r="C34" s="168"/>
      <c r="D34" s="168"/>
      <c r="E34" s="168"/>
      <c r="F34" s="152"/>
      <c r="H34" s="133"/>
      <c r="I34" s="133"/>
      <c r="J34" s="133"/>
      <c r="K34" s="133"/>
      <c r="L34" s="133"/>
      <c r="M34" s="133"/>
      <c r="N34" s="133"/>
      <c r="O34" s="133"/>
    </row>
    <row r="35" spans="1:15" s="153" customFormat="1" ht="30.75" customHeight="1" x14ac:dyDescent="0.3">
      <c r="A35" s="156">
        <v>5</v>
      </c>
      <c r="B35" s="168" t="s">
        <v>155</v>
      </c>
      <c r="C35" s="168"/>
      <c r="D35" s="168"/>
      <c r="E35" s="168"/>
      <c r="F35" s="152"/>
      <c r="H35" s="133"/>
      <c r="I35" s="133"/>
      <c r="J35" s="133"/>
      <c r="K35" s="133"/>
      <c r="L35" s="133"/>
      <c r="M35" s="133"/>
      <c r="N35" s="133"/>
      <c r="O35" s="133"/>
    </row>
    <row r="36" spans="1:15" s="153" customFormat="1" ht="68.25" customHeight="1" x14ac:dyDescent="0.3">
      <c r="A36" s="156">
        <v>6</v>
      </c>
      <c r="B36" s="168" t="s">
        <v>156</v>
      </c>
      <c r="C36" s="168"/>
      <c r="D36" s="168"/>
      <c r="E36" s="168"/>
      <c r="F36" s="152"/>
      <c r="H36" s="133"/>
      <c r="I36" s="133"/>
      <c r="J36" s="133"/>
      <c r="K36" s="133"/>
      <c r="L36" s="133"/>
      <c r="M36" s="133"/>
      <c r="N36" s="133"/>
      <c r="O36" s="133"/>
    </row>
  </sheetData>
  <mergeCells count="35">
    <mergeCell ref="A1:D1"/>
    <mergeCell ref="E1:F5"/>
    <mergeCell ref="B2:D2"/>
    <mergeCell ref="B3:D3"/>
    <mergeCell ref="B4:D4"/>
    <mergeCell ref="B5:D5"/>
    <mergeCell ref="A6:F6"/>
    <mergeCell ref="H11:I11"/>
    <mergeCell ref="J11:K11"/>
    <mergeCell ref="L11:M11"/>
    <mergeCell ref="H12:I12"/>
    <mergeCell ref="J12:K12"/>
    <mergeCell ref="L12:M12"/>
    <mergeCell ref="B26:F26"/>
    <mergeCell ref="H14:I14"/>
    <mergeCell ref="J14:K14"/>
    <mergeCell ref="L14:M14"/>
    <mergeCell ref="H15:I15"/>
    <mergeCell ref="J15:K15"/>
    <mergeCell ref="A20:B20"/>
    <mergeCell ref="A21:F21"/>
    <mergeCell ref="A22:F22"/>
    <mergeCell ref="A23:F23"/>
    <mergeCell ref="D24:F24"/>
    <mergeCell ref="D25:F25"/>
    <mergeCell ref="B33:E33"/>
    <mergeCell ref="B34:E34"/>
    <mergeCell ref="B35:E35"/>
    <mergeCell ref="B36:E36"/>
    <mergeCell ref="C27:F27"/>
    <mergeCell ref="C28:F28"/>
    <mergeCell ref="A29:F29"/>
    <mergeCell ref="A30:E30"/>
    <mergeCell ref="B31:E31"/>
    <mergeCell ref="B32:E32"/>
  </mergeCells>
  <pageMargins left="0.51181102362204722" right="0.51181102362204722" top="0.78740157480314965" bottom="0.78740157480314965" header="0.31496062992125984" footer="0.31496062992125984"/>
  <pageSetup paperSize="9" scale="64"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096518-8708-48E9-AC17-D2E3E5CD055E}">
  <dimension ref="A2:O37"/>
  <sheetViews>
    <sheetView tabSelected="1" workbookViewId="0">
      <selection activeCell="B4" sqref="B4"/>
    </sheetView>
  </sheetViews>
  <sheetFormatPr defaultRowHeight="14.4" x14ac:dyDescent="0.3"/>
  <cols>
    <col min="1" max="1" width="33.33203125" bestFit="1" customWidth="1"/>
    <col min="2" max="3" width="16" customWidth="1"/>
    <col min="4" max="4" width="11.44140625" bestFit="1" customWidth="1"/>
    <col min="5" max="5" width="29.44140625" bestFit="1" customWidth="1"/>
    <col min="6" max="6" width="10.33203125" bestFit="1" customWidth="1"/>
    <col min="7" max="7" width="11.6640625" bestFit="1" customWidth="1"/>
    <col min="8" max="8" width="15.5546875" bestFit="1" customWidth="1"/>
    <col min="9" max="9" width="16.33203125" customWidth="1"/>
    <col min="10" max="10" width="10.44140625" bestFit="1" customWidth="1"/>
    <col min="11" max="11" width="15.5546875" bestFit="1" customWidth="1"/>
    <col min="13" max="13" width="10.44140625" bestFit="1" customWidth="1"/>
    <col min="14" max="14" width="14" bestFit="1" customWidth="1"/>
  </cols>
  <sheetData>
    <row r="2" spans="1:15" x14ac:dyDescent="0.3">
      <c r="A2" s="198" t="s">
        <v>63</v>
      </c>
      <c r="B2" s="198"/>
      <c r="C2" s="198"/>
      <c r="D2" s="198"/>
      <c r="E2" s="198"/>
      <c r="F2" s="198"/>
      <c r="G2" s="198"/>
      <c r="H2" s="198"/>
      <c r="I2" s="198"/>
      <c r="J2" s="198"/>
      <c r="K2" s="198"/>
    </row>
    <row r="3" spans="1:15" x14ac:dyDescent="0.3">
      <c r="B3" s="42" t="s">
        <v>43</v>
      </c>
      <c r="C3" s="42" t="s">
        <v>42</v>
      </c>
      <c r="D3" s="37">
        <v>1.36</v>
      </c>
      <c r="F3" t="s">
        <v>62</v>
      </c>
      <c r="G3" t="s">
        <v>61</v>
      </c>
    </row>
    <row r="4" spans="1:15" x14ac:dyDescent="0.3">
      <c r="A4" t="s">
        <v>60</v>
      </c>
      <c r="B4" s="44">
        <v>12981.27</v>
      </c>
      <c r="C4" s="44">
        <f>B4*D3</f>
        <v>17654.5272</v>
      </c>
      <c r="E4" t="s">
        <v>59</v>
      </c>
      <c r="F4" s="48">
        <v>46118</v>
      </c>
      <c r="G4" s="48">
        <v>46142</v>
      </c>
      <c r="H4" s="44">
        <f>NETWORKDAYS.INTL(F4,G4,1,)</f>
        <v>19</v>
      </c>
    </row>
    <row r="5" spans="1:15" x14ac:dyDescent="0.3">
      <c r="A5" t="s">
        <v>58</v>
      </c>
      <c r="B5" s="44">
        <v>0</v>
      </c>
      <c r="C5" s="44">
        <f>B5*D3</f>
        <v>0</v>
      </c>
      <c r="D5" s="37"/>
      <c r="E5" t="s">
        <v>57</v>
      </c>
      <c r="F5" s="48">
        <v>46118</v>
      </c>
      <c r="G5" s="48">
        <v>46142</v>
      </c>
      <c r="H5" s="44">
        <v>20</v>
      </c>
      <c r="I5" s="47">
        <v>46118</v>
      </c>
      <c r="J5" s="47">
        <v>46142</v>
      </c>
      <c r="K5" s="44">
        <f>NETWORKDAYS.INTL(I5,J5,1,)</f>
        <v>19</v>
      </c>
    </row>
    <row r="6" spans="1:15" x14ac:dyDescent="0.3">
      <c r="A6" t="s">
        <v>56</v>
      </c>
      <c r="B6" s="44">
        <v>0</v>
      </c>
      <c r="C6" s="44">
        <f>B6*D3</f>
        <v>0</v>
      </c>
      <c r="E6" t="s">
        <v>55</v>
      </c>
      <c r="H6">
        <v>22</v>
      </c>
    </row>
    <row r="7" spans="1:15" x14ac:dyDescent="0.3">
      <c r="A7" t="s">
        <v>54</v>
      </c>
      <c r="B7" s="44">
        <v>12981.27</v>
      </c>
      <c r="C7" s="45">
        <f>B7*D7</f>
        <v>12981.27</v>
      </c>
      <c r="D7" s="37">
        <f>B4/B7</f>
        <v>1</v>
      </c>
      <c r="E7" t="s">
        <v>53</v>
      </c>
      <c r="F7" s="63">
        <f>J16/F9</f>
        <v>0.20613043064024389</v>
      </c>
      <c r="G7" s="63">
        <f>H6*F7</f>
        <v>4.5348694740853652</v>
      </c>
    </row>
    <row r="8" spans="1:15" x14ac:dyDescent="0.3">
      <c r="A8" t="s">
        <v>52</v>
      </c>
      <c r="B8" s="44">
        <v>0</v>
      </c>
      <c r="C8" s="44">
        <f>B8*D3</f>
        <v>0</v>
      </c>
      <c r="E8" t="s">
        <v>51</v>
      </c>
      <c r="F8" s="51">
        <v>8</v>
      </c>
    </row>
    <row r="9" spans="1:15" x14ac:dyDescent="0.3">
      <c r="B9" s="45">
        <f>SUM(B7:B8)</f>
        <v>12981.27</v>
      </c>
      <c r="C9" s="45">
        <f>SUM(C7:C8)</f>
        <v>12981.27</v>
      </c>
      <c r="E9" t="s">
        <v>50</v>
      </c>
      <c r="F9" s="45">
        <f>H5*F8</f>
        <v>160</v>
      </c>
    </row>
    <row r="10" spans="1:15" x14ac:dyDescent="0.3">
      <c r="A10" t="s">
        <v>49</v>
      </c>
      <c r="B10" s="46"/>
      <c r="C10" s="46"/>
      <c r="E10" t="s">
        <v>48</v>
      </c>
      <c r="F10" s="45">
        <f>F9*F7</f>
        <v>32.98086890243902</v>
      </c>
    </row>
    <row r="11" spans="1:15" x14ac:dyDescent="0.3">
      <c r="B11" s="45"/>
      <c r="C11" s="45"/>
      <c r="F11" s="45">
        <f>F10/F8</f>
        <v>4.1226086128048776</v>
      </c>
    </row>
    <row r="12" spans="1:15" x14ac:dyDescent="0.3">
      <c r="A12" t="s">
        <v>47</v>
      </c>
      <c r="B12" s="44">
        <v>13321.1</v>
      </c>
      <c r="E12" t="s">
        <v>46</v>
      </c>
      <c r="F12" s="6">
        <v>5.5</v>
      </c>
    </row>
    <row r="13" spans="1:15" x14ac:dyDescent="0.3">
      <c r="A13" t="s">
        <v>45</v>
      </c>
      <c r="B13" s="45">
        <f>B12*0.3</f>
        <v>3996.33</v>
      </c>
      <c r="E13" t="s">
        <v>44</v>
      </c>
      <c r="F13" s="37">
        <v>0.1</v>
      </c>
      <c r="I13" s="45"/>
      <c r="K13" s="45"/>
    </row>
    <row r="15" spans="1:15" ht="15" thickBot="1" x14ac:dyDescent="0.35"/>
    <row r="16" spans="1:15" ht="15" thickBot="1" x14ac:dyDescent="0.35">
      <c r="A16" s="199" t="s">
        <v>37</v>
      </c>
      <c r="B16" s="199"/>
      <c r="C16" s="199"/>
      <c r="F16" t="s">
        <v>67</v>
      </c>
      <c r="H16" s="76" t="s">
        <v>93</v>
      </c>
      <c r="I16" s="77"/>
      <c r="J16" s="71">
        <f>B4/J23</f>
        <v>32.98086890243902</v>
      </c>
      <c r="N16" t="s">
        <v>107</v>
      </c>
      <c r="O16">
        <v>0</v>
      </c>
    </row>
    <row r="17" spans="1:14" x14ac:dyDescent="0.3">
      <c r="A17" t="s">
        <v>40</v>
      </c>
      <c r="B17" s="42" t="s">
        <v>43</v>
      </c>
      <c r="C17" s="42" t="s">
        <v>42</v>
      </c>
      <c r="D17" s="58"/>
      <c r="E17" s="59"/>
      <c r="F17" s="2" t="s">
        <v>68</v>
      </c>
      <c r="G17" s="2" t="s">
        <v>42</v>
      </c>
      <c r="H17" s="72" t="s">
        <v>90</v>
      </c>
      <c r="I17" s="72" t="s">
        <v>91</v>
      </c>
      <c r="J17" s="72" t="s">
        <v>92</v>
      </c>
      <c r="N17" s="6">
        <f>$O$16*D18</f>
        <v>0</v>
      </c>
    </row>
    <row r="18" spans="1:14" x14ac:dyDescent="0.3">
      <c r="A18" t="s">
        <v>24</v>
      </c>
      <c r="B18" s="43">
        <f>$B$4/'[1]Dados Equipamentos '!G5</f>
        <v>15.024618055555553</v>
      </c>
      <c r="C18" s="43">
        <f>$C$4/'[1]Dados Equipamentos '!G5</f>
        <v>20.433480555555555</v>
      </c>
      <c r="D18" s="62">
        <v>0</v>
      </c>
      <c r="E18" s="60" t="s">
        <v>24</v>
      </c>
      <c r="F18">
        <v>10</v>
      </c>
      <c r="G18" s="45">
        <f>F18*'Dados Transporte  (2)'!$D$6</f>
        <v>96.000000000000014</v>
      </c>
      <c r="H18" s="73">
        <f>G18*F8*D18</f>
        <v>0</v>
      </c>
      <c r="I18" s="74">
        <f>D18*F18*F8</f>
        <v>0</v>
      </c>
      <c r="J18" s="75">
        <f>G18*D18</f>
        <v>0</v>
      </c>
      <c r="N18" s="6">
        <f t="shared" ref="N18:N28" si="0">$O$16*D19</f>
        <v>0</v>
      </c>
    </row>
    <row r="19" spans="1:14" x14ac:dyDescent="0.3">
      <c r="A19" t="s">
        <v>25</v>
      </c>
      <c r="B19" s="43">
        <f>$B$9/'[1]Dados Equipamentos '!I6</f>
        <v>9.3903862847222221</v>
      </c>
      <c r="C19" s="43">
        <f>$C$9/'[1]Dados Equipamentos '!I6</f>
        <v>9.3903862847222221</v>
      </c>
      <c r="D19" s="62">
        <v>1</v>
      </c>
      <c r="E19" s="60" t="s">
        <v>25</v>
      </c>
      <c r="F19">
        <v>16</v>
      </c>
      <c r="G19" s="45">
        <f>F19*'Dados Transporte  (2)'!$D$6</f>
        <v>153.60000000000002</v>
      </c>
      <c r="H19" s="73">
        <f>G19*$F$8*D19</f>
        <v>1228.8000000000002</v>
      </c>
      <c r="I19" s="74">
        <f>F19*$F$8*D19</f>
        <v>128</v>
      </c>
      <c r="J19" s="75">
        <f>G19*D19</f>
        <v>153.60000000000002</v>
      </c>
      <c r="N19" s="6">
        <f t="shared" si="0"/>
        <v>0</v>
      </c>
    </row>
    <row r="20" spans="1:14" x14ac:dyDescent="0.3">
      <c r="A20" t="s">
        <v>26</v>
      </c>
      <c r="B20" s="43">
        <f>$B$4/'[1]Dados Equipamentos '!G7</f>
        <v>6.0098472222222208</v>
      </c>
      <c r="C20" s="43">
        <f>$C$4/'[1]Dados Equipamentos '!G7</f>
        <v>8.1733922222222208</v>
      </c>
      <c r="D20" s="62">
        <v>1</v>
      </c>
      <c r="E20" s="60" t="s">
        <v>26</v>
      </c>
      <c r="F20">
        <v>25</v>
      </c>
      <c r="G20" s="45">
        <f>F20*'Dados Transporte  (2)'!$D$6</f>
        <v>240.00000000000003</v>
      </c>
      <c r="H20" s="73">
        <f>G20*$F$8*D20</f>
        <v>1920.0000000000002</v>
      </c>
      <c r="I20" s="74">
        <f>F20*$F$8*D20</f>
        <v>200</v>
      </c>
      <c r="J20" s="75">
        <f>G20*D20</f>
        <v>240.00000000000003</v>
      </c>
      <c r="N20" s="6">
        <f t="shared" si="0"/>
        <v>0</v>
      </c>
    </row>
    <row r="21" spans="1:14" x14ac:dyDescent="0.3">
      <c r="A21" t="s">
        <v>27</v>
      </c>
      <c r="B21" s="43">
        <f>$B$4/'[1]Dados Equipamentos '!G8</f>
        <v>5.0082060185185178</v>
      </c>
      <c r="C21" s="43">
        <f>$C$4/'[1]Dados Equipamentos '!G8</f>
        <v>6.8111601851851837</v>
      </c>
      <c r="D21" s="62">
        <v>0</v>
      </c>
      <c r="E21" s="60" t="s">
        <v>27</v>
      </c>
      <c r="F21">
        <v>30</v>
      </c>
      <c r="G21" s="45">
        <f>F21*'Dados Transporte  (2)'!$D$6</f>
        <v>288.00000000000006</v>
      </c>
      <c r="H21" s="73">
        <f>G21*$F$8*D21</f>
        <v>0</v>
      </c>
      <c r="I21" s="74">
        <f>F21*$F$8*D21</f>
        <v>0</v>
      </c>
      <c r="J21" s="75">
        <f>G21*D21</f>
        <v>0</v>
      </c>
      <c r="N21" s="6">
        <f t="shared" si="0"/>
        <v>0</v>
      </c>
    </row>
    <row r="22" spans="1:14" x14ac:dyDescent="0.3">
      <c r="D22" s="66"/>
      <c r="E22" s="67"/>
      <c r="H22" s="74"/>
      <c r="I22" s="74"/>
      <c r="J22" s="70"/>
      <c r="N22" s="6">
        <f t="shared" si="0"/>
        <v>0</v>
      </c>
    </row>
    <row r="23" spans="1:14" x14ac:dyDescent="0.3">
      <c r="A23" s="199" t="s">
        <v>41</v>
      </c>
      <c r="B23" s="199"/>
      <c r="C23" s="199"/>
      <c r="D23" s="62">
        <v>0</v>
      </c>
      <c r="E23" s="60" t="s">
        <v>28</v>
      </c>
      <c r="H23" s="88">
        <f>SUM(H18:H21)</f>
        <v>3148.8</v>
      </c>
      <c r="I23" s="89">
        <f>SUM(I18:I21)</f>
        <v>328</v>
      </c>
      <c r="J23" s="90">
        <f>SUM(J18:J21)</f>
        <v>393.6</v>
      </c>
      <c r="N23" s="6">
        <f t="shared" si="0"/>
        <v>0</v>
      </c>
    </row>
    <row r="24" spans="1:14" ht="28.8" x14ac:dyDescent="0.3">
      <c r="A24" t="s">
        <v>40</v>
      </c>
      <c r="B24" s="41" t="s">
        <v>39</v>
      </c>
      <c r="C24" s="41" t="s">
        <v>38</v>
      </c>
      <c r="D24" s="62">
        <v>0</v>
      </c>
      <c r="E24" s="60" t="s">
        <v>13</v>
      </c>
      <c r="F24" s="2"/>
      <c r="G24" s="2"/>
      <c r="N24" s="6">
        <f t="shared" si="0"/>
        <v>0</v>
      </c>
    </row>
    <row r="25" spans="1:14" x14ac:dyDescent="0.3">
      <c r="A25" t="s">
        <v>24</v>
      </c>
      <c r="B25" s="43">
        <f t="shared" ref="B25:C28" si="1">$F$8*B18</f>
        <v>120.19694444444443</v>
      </c>
      <c r="C25" s="43">
        <f t="shared" si="1"/>
        <v>163.46784444444444</v>
      </c>
      <c r="D25" s="62">
        <v>1</v>
      </c>
      <c r="E25" s="60" t="s">
        <v>29</v>
      </c>
      <c r="H25" s="45"/>
      <c r="J25" s="45"/>
      <c r="M25" s="45"/>
      <c r="N25" s="6">
        <f t="shared" si="0"/>
        <v>0</v>
      </c>
    </row>
    <row r="26" spans="1:14" x14ac:dyDescent="0.3">
      <c r="A26" t="s">
        <v>25</v>
      </c>
      <c r="B26" s="43">
        <f t="shared" si="1"/>
        <v>75.123090277777777</v>
      </c>
      <c r="C26" s="43">
        <f t="shared" si="1"/>
        <v>75.123090277777777</v>
      </c>
      <c r="D26" s="62">
        <v>0.5</v>
      </c>
      <c r="E26" s="60" t="s">
        <v>30</v>
      </c>
      <c r="G26" s="44"/>
      <c r="J26" s="44"/>
      <c r="K26" s="37"/>
      <c r="N26" s="6">
        <f t="shared" si="0"/>
        <v>0</v>
      </c>
    </row>
    <row r="27" spans="1:14" x14ac:dyDescent="0.3">
      <c r="A27" t="s">
        <v>26</v>
      </c>
      <c r="B27" s="43">
        <f t="shared" si="1"/>
        <v>48.078777777777766</v>
      </c>
      <c r="C27" s="43">
        <f t="shared" si="1"/>
        <v>65.387137777777767</v>
      </c>
      <c r="D27" s="62">
        <v>2</v>
      </c>
      <c r="E27" s="60" t="s">
        <v>31</v>
      </c>
      <c r="J27" s="45"/>
      <c r="N27" s="6">
        <f t="shared" si="0"/>
        <v>0</v>
      </c>
    </row>
    <row r="28" spans="1:14" x14ac:dyDescent="0.3">
      <c r="A28" t="s">
        <v>27</v>
      </c>
      <c r="B28" s="43">
        <f t="shared" si="1"/>
        <v>40.065648148148142</v>
      </c>
      <c r="C28" s="43">
        <f t="shared" si="1"/>
        <v>54.48928148148147</v>
      </c>
      <c r="D28" s="62">
        <v>0.5</v>
      </c>
      <c r="E28" s="60" t="s">
        <v>32</v>
      </c>
      <c r="J28" s="45"/>
      <c r="K28" s="45"/>
      <c r="N28" s="6">
        <f t="shared" si="0"/>
        <v>0</v>
      </c>
    </row>
    <row r="29" spans="1:14" x14ac:dyDescent="0.3">
      <c r="D29" s="62">
        <v>1</v>
      </c>
      <c r="E29" s="60" t="s">
        <v>71</v>
      </c>
    </row>
    <row r="30" spans="1:14" x14ac:dyDescent="0.3">
      <c r="A30" s="199" t="s">
        <v>37</v>
      </c>
      <c r="B30" s="199"/>
      <c r="C30" s="199"/>
      <c r="D30" s="62">
        <v>1</v>
      </c>
      <c r="E30" s="60" t="s">
        <v>72</v>
      </c>
      <c r="N30" s="38">
        <f>SUM(N17:N29)</f>
        <v>0</v>
      </c>
    </row>
    <row r="31" spans="1:14" x14ac:dyDescent="0.3">
      <c r="A31" t="s">
        <v>36</v>
      </c>
      <c r="B31" s="42" t="s">
        <v>34</v>
      </c>
      <c r="C31" s="42"/>
      <c r="D31" s="62">
        <v>1</v>
      </c>
      <c r="E31" s="60" t="s">
        <v>74</v>
      </c>
    </row>
    <row r="32" spans="1:14" x14ac:dyDescent="0.3">
      <c r="A32" t="s">
        <v>24</v>
      </c>
      <c r="B32" s="43">
        <f>B12/'[1]Dados Equipamentos '!G19</f>
        <v>2.9602444444444447</v>
      </c>
      <c r="C32" s="43"/>
      <c r="D32" s="62">
        <v>1</v>
      </c>
      <c r="E32" s="60" t="s">
        <v>75</v>
      </c>
      <c r="K32" s="6"/>
    </row>
    <row r="33" spans="1:10" x14ac:dyDescent="0.3">
      <c r="D33" s="62">
        <v>1</v>
      </c>
      <c r="E33" s="60" t="s">
        <v>76</v>
      </c>
    </row>
    <row r="34" spans="1:10" x14ac:dyDescent="0.3">
      <c r="A34" s="199" t="s">
        <v>35</v>
      </c>
      <c r="B34" s="199"/>
      <c r="C34" s="199"/>
      <c r="D34" s="62">
        <v>1</v>
      </c>
      <c r="E34" s="60" t="s">
        <v>77</v>
      </c>
      <c r="G34" s="38">
        <f>'COMPOSIÇÃO DE PREÇO'!B9</f>
        <v>0.75457317073170727</v>
      </c>
    </row>
    <row r="35" spans="1:10" ht="15" thickBot="1" x14ac:dyDescent="0.35">
      <c r="B35" s="42" t="s">
        <v>34</v>
      </c>
      <c r="C35" s="41"/>
      <c r="D35" s="65">
        <v>0</v>
      </c>
      <c r="E35" s="61" t="s">
        <v>78</v>
      </c>
      <c r="G35" s="38">
        <f>'COMPOSIÇÃO DE PREÇO'!F23</f>
        <v>4.9027937173657072</v>
      </c>
    </row>
    <row r="36" spans="1:10" x14ac:dyDescent="0.3">
      <c r="A36" t="s">
        <v>24</v>
      </c>
      <c r="B36" s="2">
        <f>B32*F8</f>
        <v>23.681955555555557</v>
      </c>
      <c r="J36">
        <v>210000</v>
      </c>
    </row>
    <row r="37" spans="1:10" x14ac:dyDescent="0.3">
      <c r="J37" s="45">
        <f>J36/B4</f>
        <v>16.177153699137296</v>
      </c>
    </row>
  </sheetData>
  <mergeCells count="5">
    <mergeCell ref="A2:K2"/>
    <mergeCell ref="A16:C16"/>
    <mergeCell ref="A23:C23"/>
    <mergeCell ref="A30:C30"/>
    <mergeCell ref="A34:C34"/>
  </mergeCells>
  <pageMargins left="0.511811024" right="0.511811024" top="0.78740157499999996" bottom="0.78740157499999996" header="0.31496062000000002" footer="0.3149606200000000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5F4B1D-4D7C-426D-915D-6D556009DBEA}">
  <dimension ref="A2:S38"/>
  <sheetViews>
    <sheetView workbookViewId="0">
      <selection activeCell="D18" sqref="D18"/>
    </sheetView>
  </sheetViews>
  <sheetFormatPr defaultRowHeight="14.4" x14ac:dyDescent="0.3"/>
  <cols>
    <col min="1" max="1" width="24.6640625" bestFit="1" customWidth="1"/>
    <col min="2" max="2" width="15" bestFit="1" customWidth="1"/>
    <col min="3" max="3" width="11.33203125" bestFit="1" customWidth="1"/>
    <col min="4" max="4" width="11.44140625" bestFit="1" customWidth="1"/>
    <col min="5" max="5" width="21.33203125" bestFit="1" customWidth="1"/>
    <col min="6" max="6" width="11.33203125" bestFit="1" customWidth="1"/>
    <col min="7" max="7" width="16.5546875" bestFit="1" customWidth="1"/>
    <col min="8" max="8" width="15.5546875" bestFit="1" customWidth="1"/>
    <col min="9" max="9" width="16.5546875" bestFit="1" customWidth="1"/>
    <col min="10" max="11" width="16.5546875" customWidth="1"/>
    <col min="12" max="12" width="16.5546875" bestFit="1" customWidth="1"/>
    <col min="13" max="13" width="9.33203125" bestFit="1" customWidth="1"/>
    <col min="14" max="14" width="14.33203125" bestFit="1" customWidth="1"/>
    <col min="17" max="17" width="9.33203125" bestFit="1" customWidth="1"/>
  </cols>
  <sheetData>
    <row r="2" spans="1:19" ht="15" thickBot="1" x14ac:dyDescent="0.35">
      <c r="H2" s="37">
        <v>1.5</v>
      </c>
    </row>
    <row r="3" spans="1:19" ht="15" thickBot="1" x14ac:dyDescent="0.35">
      <c r="A3" s="206" t="s">
        <v>158</v>
      </c>
      <c r="B3" s="207"/>
      <c r="C3" s="207"/>
      <c r="D3" s="207"/>
      <c r="E3" s="207"/>
      <c r="F3" s="207"/>
      <c r="G3" s="208"/>
      <c r="H3" s="91">
        <v>2.2999999999999998</v>
      </c>
      <c r="I3">
        <v>13.5</v>
      </c>
      <c r="J3" s="7">
        <v>1.2</v>
      </c>
      <c r="K3" s="7"/>
      <c r="L3" s="38">
        <f>I3-F23</f>
        <v>8.5972062826342928</v>
      </c>
      <c r="M3" s="7">
        <f>L3/I3</f>
        <v>0.63683009500994758</v>
      </c>
      <c r="N3" s="39">
        <f>M3-H3</f>
        <v>-1.6631699049900521</v>
      </c>
    </row>
    <row r="4" spans="1:19" ht="15" thickBot="1" x14ac:dyDescent="0.35">
      <c r="A4" s="1"/>
      <c r="B4" s="2" t="s">
        <v>0</v>
      </c>
      <c r="C4" s="2" t="s">
        <v>1</v>
      </c>
      <c r="D4" s="2" t="s">
        <v>2</v>
      </c>
      <c r="E4" s="2" t="s">
        <v>3</v>
      </c>
      <c r="F4" s="2" t="s">
        <v>4</v>
      </c>
      <c r="G4" s="3"/>
      <c r="L4" s="38">
        <f>H23-I3</f>
        <v>6.1580327492046685</v>
      </c>
      <c r="M4" s="7">
        <f>L4/I3</f>
        <v>0.45615057401516063</v>
      </c>
    </row>
    <row r="5" spans="1:19" ht="15" thickBot="1" x14ac:dyDescent="0.35">
      <c r="A5" s="93" t="s">
        <v>5</v>
      </c>
      <c r="B5" s="20"/>
      <c r="C5" s="20"/>
      <c r="D5" s="20"/>
      <c r="E5" s="20"/>
      <c r="F5" s="20"/>
      <c r="G5" s="21"/>
    </row>
    <row r="6" spans="1:19" ht="15" thickBot="1" x14ac:dyDescent="0.35">
      <c r="A6" s="4" t="s">
        <v>6</v>
      </c>
      <c r="B6" s="8">
        <f>IF('Dados do Contrato  '!B13&lt;&gt;0,SUM('CUSTOS EQUIPAMENTOS'!D5+'CUSTOS EQUIPAMENTOS'!D6+'CUSTOS EQUIPAMENTOS'!D7+'CUSTOS EQUIPAMENTOS'!D8)/'Dados do Contrato  '!B13,0)</f>
        <v>2.451078380420133</v>
      </c>
      <c r="C6" s="8">
        <f>IF('Dados do Contrato  '!B13&lt;&gt;0,SUM('CUSTOS EQUIPAMENTOS'!F5+'CUSTOS EQUIPAMENTOS'!F6+'CUSTOS EQUIPAMENTOS'!F7+'CUSTOS EQUIPAMENTOS'!F8)/'Dados do Contrato  '!B13,0)</f>
        <v>0.70148707857141857</v>
      </c>
      <c r="D6" s="8">
        <f>IF('Dados do Contrato  '!B13&lt;&gt;0,SUM('CUSTOS EQUIPAMENTOS'!H5+'CUSTOS EQUIPAMENTOS'!H6+'CUSTOS EQUIPAMENTOS'!H7+'CUSTOS EQUIPAMENTOS'!H8)/'Dados do Contrato  '!B13,0)</f>
        <v>0.53860308199910767</v>
      </c>
      <c r="E6" s="8">
        <f>'CUSTOS EQUIPAMENTOS'!J24</f>
        <v>0.1135405042775918</v>
      </c>
      <c r="F6" s="8">
        <f>SUM(B6:E6)</f>
        <v>3.8047090452682508</v>
      </c>
      <c r="G6" s="5">
        <f>'Dados do Contrato  '!$B$13*'COMPOSIÇÃO DE PREÇO'!F6</f>
        <v>15204.872898876869</v>
      </c>
      <c r="H6" s="6">
        <f>F6*$H$3</f>
        <v>8.7508308041169762</v>
      </c>
      <c r="I6" s="6">
        <f>'Dados do Contrato  '!$B$13*'COMPOSIÇÃO DE PREÇO'!H6</f>
        <v>34971.207667416798</v>
      </c>
      <c r="J6" s="6">
        <f>H6*$J$3</f>
        <v>10.500996964940372</v>
      </c>
      <c r="K6" s="6">
        <f>J6*'Dados do Contrato  '!$B$13</f>
        <v>41965.449200900155</v>
      </c>
      <c r="L6" s="69">
        <f>I6/I23</f>
        <v>0.19806921443058878</v>
      </c>
      <c r="M6" s="7">
        <f>G6/$I$23</f>
        <v>8.6117049752429897E-2</v>
      </c>
      <c r="N6" s="38">
        <f>I6-G6</f>
        <v>19766.334768539928</v>
      </c>
      <c r="O6" s="7">
        <f>N6/$I$23</f>
        <v>0.11195216467815886</v>
      </c>
      <c r="P6" s="7">
        <v>0.06</v>
      </c>
      <c r="Q6" s="38">
        <f>H6*P6</f>
        <v>0.5250498482470185</v>
      </c>
      <c r="R6" s="38">
        <f>3.85-Q6</f>
        <v>3.3249501517529816</v>
      </c>
      <c r="S6" s="38">
        <f>F6*O7</f>
        <v>7.6094180905365016</v>
      </c>
    </row>
    <row r="7" spans="1:19" ht="15" thickBot="1" x14ac:dyDescent="0.35">
      <c r="A7" s="1"/>
      <c r="B7" s="2"/>
      <c r="C7" s="2"/>
      <c r="D7" s="2"/>
      <c r="E7" s="2"/>
      <c r="F7" s="2"/>
      <c r="G7" s="3"/>
      <c r="H7" s="6"/>
      <c r="I7" s="7"/>
      <c r="J7" s="7"/>
      <c r="K7" s="7"/>
      <c r="O7" s="37">
        <v>2</v>
      </c>
    </row>
    <row r="8" spans="1:19" ht="15" thickBot="1" x14ac:dyDescent="0.35">
      <c r="A8" s="202" t="s">
        <v>7</v>
      </c>
      <c r="B8" s="203"/>
      <c r="C8" s="203"/>
      <c r="D8" s="203"/>
      <c r="E8" s="203"/>
      <c r="F8" s="203"/>
      <c r="G8" s="209"/>
      <c r="H8" s="6"/>
      <c r="I8" s="7"/>
      <c r="J8" s="7"/>
      <c r="K8" s="7"/>
    </row>
    <row r="9" spans="1:19" ht="15" thickBot="1" x14ac:dyDescent="0.35">
      <c r="A9" s="4" t="s">
        <v>6</v>
      </c>
      <c r="B9" s="8">
        <f>IF('Dados do Contrato  '!B4&lt;&gt;0,SUM('CUSTOS EQUIPAMENTOS'!D5+'CUSTOS EQUIPAMENTOS'!D6+'CUSTOS EQUIPAMENTOS'!D7+'CUSTOS EQUIPAMENTOS'!D8)/'Dados do Contrato  '!B4,0)</f>
        <v>0.75457317073170727</v>
      </c>
      <c r="C9" s="8">
        <f>IF('Dados do Contrato  '!B4&lt;&gt;0,SUM('CUSTOS EQUIPAMENTOS'!F5+'CUSTOS EQUIPAMENTOS'!F6+'CUSTOS EQUIPAMENTOS'!F7+'CUSTOS EQUIPAMENTOS'!F8)/'Dados do Contrato  '!B4,0)</f>
        <v>0.21595528455284552</v>
      </c>
      <c r="D9" s="8">
        <f>IF('Dados do Contrato  '!B4&lt;&gt;0,SUM('CUSTOS EQUIPAMENTOS'!H5+'CUSTOS EQUIPAMENTOS'!H6+'CUSTOS EQUIPAMENTOS'!H7+'CUSTOS EQUIPAMENTOS'!H8)/'Dados do Contrato  '!B4,0)</f>
        <v>0.16581086863500211</v>
      </c>
      <c r="E9" s="8">
        <f>'CUSTOS EQUIPAMENTOS'!J24</f>
        <v>0.1135405042775918</v>
      </c>
      <c r="F9" s="8">
        <f>SUM(B9:E9)</f>
        <v>1.2498798281971468</v>
      </c>
      <c r="G9" s="5">
        <f>'Dados do Contrato  '!$B$4*'COMPOSIÇÃO DE PREÇO'!F9</f>
        <v>16225.027517380777</v>
      </c>
      <c r="H9" s="6">
        <v>3.48</v>
      </c>
      <c r="I9" s="6">
        <f>'Dados do Contrato  '!$B$4*'COMPOSIÇÃO DE PREÇO'!H9</f>
        <v>45174.819600000003</v>
      </c>
      <c r="J9" s="6">
        <f>H9*$J$3</f>
        <v>4.1760000000000002</v>
      </c>
      <c r="K9" s="6">
        <f>J9*'Dados do Contrato  '!$B$4</f>
        <v>54209.783520000005</v>
      </c>
      <c r="L9" s="69">
        <f>I9/I23</f>
        <v>0.25586022408234732</v>
      </c>
      <c r="M9" s="7">
        <f>G9/$I$23</f>
        <v>9.1894980723714867E-2</v>
      </c>
      <c r="N9" s="38">
        <f>I9-G9</f>
        <v>28949.792082619228</v>
      </c>
      <c r="O9" s="7">
        <f>N9/$I$23</f>
        <v>0.16396524335863247</v>
      </c>
      <c r="P9" s="7">
        <v>0.06</v>
      </c>
      <c r="Q9" s="38">
        <f>H9*P9</f>
        <v>0.20879999999999999</v>
      </c>
      <c r="R9" s="38">
        <f>3.85-Q9</f>
        <v>3.6412</v>
      </c>
      <c r="S9" s="38">
        <f>F9*O7</f>
        <v>2.4997596563942936</v>
      </c>
    </row>
    <row r="10" spans="1:19" ht="15" thickBot="1" x14ac:dyDescent="0.35">
      <c r="A10" s="92" t="s">
        <v>8</v>
      </c>
      <c r="B10" s="29"/>
      <c r="C10" s="29"/>
      <c r="D10" s="29"/>
      <c r="E10" s="29"/>
      <c r="F10" s="29"/>
      <c r="G10" s="30"/>
      <c r="H10" s="6"/>
      <c r="I10" s="6">
        <f>'Dados do Contrato  '!$B$4*'COMPOSIÇÃO DE PREÇO'!H10</f>
        <v>0</v>
      </c>
      <c r="J10" s="6">
        <f>H10*$J$3</f>
        <v>0</v>
      </c>
      <c r="K10" s="6">
        <f>J10*'Dados do Contrato  '!$B$4</f>
        <v>0</v>
      </c>
      <c r="L10" s="68"/>
      <c r="M10" s="7"/>
      <c r="N10" s="38">
        <f>I10-G10</f>
        <v>0</v>
      </c>
      <c r="O10" s="7"/>
    </row>
    <row r="11" spans="1:19" x14ac:dyDescent="0.3">
      <c r="A11" s="9" t="s">
        <v>9</v>
      </c>
      <c r="B11" s="10"/>
      <c r="C11" s="11"/>
      <c r="D11" s="11"/>
      <c r="E11" s="11"/>
      <c r="F11" s="10">
        <f>'Dados Transporte  (2)'!C11</f>
        <v>1.8149999999999999</v>
      </c>
      <c r="G11" s="12">
        <f>'Dados do Contrato  '!C4*'COMPOSIÇÃO DE PREÇO'!F11</f>
        <v>32042.966868</v>
      </c>
      <c r="H11" s="6">
        <v>3.2</v>
      </c>
      <c r="I11" s="6">
        <f>'Dados do Contrato  '!$B$4*'COMPOSIÇÃO DE PREÇO'!H11</f>
        <v>41540.064000000006</v>
      </c>
      <c r="J11" s="6">
        <f>H11*$J$3</f>
        <v>3.84</v>
      </c>
      <c r="K11" s="6">
        <f>J11*'Dados do Contrato  '!$B$4</f>
        <v>49848.076800000003</v>
      </c>
      <c r="L11" s="69">
        <f>I11/I23</f>
        <v>0.23527376927112401</v>
      </c>
      <c r="M11" s="7">
        <f>G11/$I$23</f>
        <v>0.18148430377151326</v>
      </c>
      <c r="N11" s="38">
        <f>I11-G11</f>
        <v>9497.0971320000062</v>
      </c>
      <c r="O11" s="7">
        <f t="shared" ref="O11:O21" si="0">N11/$I$23</f>
        <v>5.378946549961075E-2</v>
      </c>
    </row>
    <row r="12" spans="1:19" ht="15" thickBot="1" x14ac:dyDescent="0.35">
      <c r="A12" s="13" t="s">
        <v>10</v>
      </c>
      <c r="B12" s="14"/>
      <c r="C12" s="15"/>
      <c r="D12" s="15"/>
      <c r="E12" s="15"/>
      <c r="F12" s="16">
        <v>3.2</v>
      </c>
      <c r="G12" s="17">
        <f>'Dados do Contrato  '!B13*'COMPOSIÇÃO DE PREÇO'!F12</f>
        <v>12788.256000000001</v>
      </c>
      <c r="H12" s="6"/>
      <c r="I12" s="6">
        <f>'Dados do Contrato  '!$B$13*'COMPOSIÇÃO DE PREÇO'!H12</f>
        <v>0</v>
      </c>
      <c r="J12" s="6">
        <f>H12*$J$3</f>
        <v>0</v>
      </c>
      <c r="K12" s="6">
        <f>J12*'Dados do Contrato  '!$B$4</f>
        <v>0</v>
      </c>
      <c r="M12" s="7"/>
      <c r="O12" s="7"/>
    </row>
    <row r="13" spans="1:19" ht="15" thickBot="1" x14ac:dyDescent="0.35">
      <c r="A13" s="204" t="s">
        <v>4</v>
      </c>
      <c r="B13" s="205"/>
      <c r="C13" s="205"/>
      <c r="D13" s="205"/>
      <c r="E13" s="205"/>
      <c r="F13" s="18"/>
      <c r="G13" s="19">
        <f>SUM(G11:G12)</f>
        <v>44831.222867999997</v>
      </c>
      <c r="H13" s="6"/>
      <c r="I13" s="6">
        <f>'Dados do Contrato  '!$B$4*'COMPOSIÇÃO DE PREÇO'!H13</f>
        <v>0</v>
      </c>
      <c r="J13" s="6">
        <f>H13*$J$3</f>
        <v>0</v>
      </c>
      <c r="K13" s="6">
        <f>J13*'Dados do Contrato  '!$B$4</f>
        <v>0</v>
      </c>
      <c r="M13" s="7"/>
      <c r="O13" s="7"/>
    </row>
    <row r="14" spans="1:19" ht="15" thickBot="1" x14ac:dyDescent="0.35">
      <c r="A14" s="94" t="s">
        <v>11</v>
      </c>
      <c r="B14" s="95"/>
      <c r="C14" s="95"/>
      <c r="D14" s="95"/>
      <c r="E14" s="95"/>
      <c r="F14" s="95"/>
      <c r="G14" s="96"/>
      <c r="H14" s="6"/>
      <c r="I14" s="6"/>
      <c r="J14" s="6"/>
      <c r="K14" s="6"/>
      <c r="M14" s="7"/>
      <c r="O14" s="7"/>
    </row>
    <row r="15" spans="1:19" ht="15" thickBot="1" x14ac:dyDescent="0.35">
      <c r="A15" s="202" t="s">
        <v>12</v>
      </c>
      <c r="B15" s="203"/>
      <c r="C15" s="203"/>
      <c r="D15" s="20"/>
      <c r="E15" s="20"/>
      <c r="F15" s="20"/>
      <c r="G15" s="21"/>
      <c r="H15" s="6"/>
      <c r="I15" s="6"/>
      <c r="J15" s="6"/>
      <c r="K15" s="6"/>
      <c r="M15" s="7"/>
      <c r="O15" s="7"/>
    </row>
    <row r="16" spans="1:19" x14ac:dyDescent="0.3">
      <c r="A16" s="9" t="s">
        <v>13</v>
      </c>
      <c r="B16" s="22">
        <f>IF('Dados do Contrato  '!B4&lt;&gt;0,SUM('CUSTOS EQUIPAMENTOS'!D9+'CUSTOS EQUIPAMENTOS'!D10)/'Dados do Contrato  '!B4,0)</f>
        <v>0</v>
      </c>
      <c r="C16" s="22">
        <f>IF('Dados do Contrato  '!B4&lt;&gt;0,SUM('CUSTOS EQUIPAMENTOS'!F9+'CUSTOS EQUIPAMENTOS'!F10)/'Dados do Contrato  '!$B$4,0)</f>
        <v>0</v>
      </c>
      <c r="D16" s="22">
        <f>IF('Dados do Contrato  '!B4&lt;&gt;0,SUM('CUSTOS EQUIPAMENTOS'!H9+'CUSTOS EQUIPAMENTOS'!H10)/'Dados do Contrato  '!B4,0)</f>
        <v>0</v>
      </c>
      <c r="E16" s="22">
        <f>'CUSTOS EQUIPAMENTOS'!K9</f>
        <v>0</v>
      </c>
      <c r="F16" s="22">
        <f>SUM(B16:E16)</f>
        <v>0</v>
      </c>
      <c r="G16" s="12">
        <f>'Dados do Contrato  '!$B$7*'COMPOSIÇÃO DE PREÇO'!F16</f>
        <v>0</v>
      </c>
      <c r="H16" s="6">
        <f>F16*$H$3</f>
        <v>0</v>
      </c>
      <c r="I16" s="6">
        <f>'Dados do Contrato  '!$B$4*'COMPOSIÇÃO DE PREÇO'!H16</f>
        <v>0</v>
      </c>
      <c r="J16" s="6">
        <f>H16*$J$3</f>
        <v>0</v>
      </c>
      <c r="K16" s="6">
        <f>J16*'Dados do Contrato  '!$B$4</f>
        <v>0</v>
      </c>
      <c r="L16" s="69">
        <f>I16/I23</f>
        <v>0</v>
      </c>
      <c r="M16" s="7">
        <f>G16/$I$23</f>
        <v>0</v>
      </c>
      <c r="N16" s="38">
        <f>I16-G16</f>
        <v>0</v>
      </c>
      <c r="O16" s="7">
        <f>N16/$I$23</f>
        <v>0</v>
      </c>
      <c r="P16">
        <v>6</v>
      </c>
    </row>
    <row r="17" spans="1:16" x14ac:dyDescent="0.3">
      <c r="A17" s="23" t="s">
        <v>14</v>
      </c>
      <c r="B17" s="24">
        <f>IF('Dados do Contrato  '!B4&lt;&gt;0,'CUSTOS EQUIPAMENTOS'!D11/'Dados do Contrato  '!B4,0)</f>
        <v>0.23755081300813005</v>
      </c>
      <c r="C17" s="24">
        <f>IF('Dados do Contrato  '!B4&lt;&gt;0,'CUSTOS EQUIPAMENTOS'!F11/'Dados do Contrato  '!$B$4,0)</f>
        <v>9.9085365853658514E-2</v>
      </c>
      <c r="D17" s="24">
        <f>IF('Dados do Contrato  '!B4&lt;&gt;0,'CUSTOS EQUIPAMENTOS'!H11/'Dados do Contrato  '!$B$4,0)</f>
        <v>6.28476679503637E-2</v>
      </c>
      <c r="E17" s="24">
        <f>'CUSTOS EQUIPAMENTOS'!K11</f>
        <v>0.1135405042775918</v>
      </c>
      <c r="F17" s="24">
        <f>SUM(B17:E17)</f>
        <v>0.51302435108974398</v>
      </c>
      <c r="G17" s="25">
        <f>'Dados do Contrato  '!$B$7*'COMPOSIÇÃO DE PREÇO'!F17</f>
        <v>6659.7076180707609</v>
      </c>
      <c r="H17" s="6">
        <f>F17*$H$3</f>
        <v>1.1799560075064111</v>
      </c>
      <c r="I17" s="6">
        <f>'Dados do Contrato  '!$B$7*'COMPOSIÇÃO DE PREÇO'!H17</f>
        <v>15317.327521562749</v>
      </c>
      <c r="J17" s="6">
        <f>H17*$J$3</f>
        <v>1.4159472090076932</v>
      </c>
      <c r="K17" s="6">
        <f>J17*'Dados do Contrato  '!$B$7</f>
        <v>18380.793025875297</v>
      </c>
      <c r="L17" s="69">
        <f>I17/I23</f>
        <v>8.675396795629374E-2</v>
      </c>
      <c r="M17" s="7">
        <f>G17/$I$23</f>
        <v>3.7719116502736412E-2</v>
      </c>
      <c r="N17" s="38">
        <f>I17-G17</f>
        <v>8657.6199034919882</v>
      </c>
      <c r="O17" s="7">
        <f t="shared" si="0"/>
        <v>4.9034851453557328E-2</v>
      </c>
      <c r="P17">
        <v>4</v>
      </c>
    </row>
    <row r="18" spans="1:16" x14ac:dyDescent="0.3">
      <c r="A18" s="26" t="s">
        <v>15</v>
      </c>
      <c r="B18" s="27">
        <f>IF('Dados do Contrato  '!B4&lt;&gt;0,'CUSTOS EQUIPAMENTOS'!D12/'Dados do Contrato  '!$B$4,0)</f>
        <v>0.10480182926829268</v>
      </c>
      <c r="C18" s="27">
        <f>IF('Dados do Contrato  '!B4&lt;&gt;0,'CUSTOS EQUIPAMENTOS'!F12/'Dados do Contrato  '!$B$4,0)</f>
        <v>2.2865853658536581E-2</v>
      </c>
      <c r="D18" s="27">
        <f>IF('Dados do Contrato  '!B4&lt;&gt;0,'CUSTOS EQUIPAMENTOS'!H12/'Dados do Contrato  '!$B$4,0)</f>
        <v>2.6743688489516471E-2</v>
      </c>
      <c r="E18" s="27">
        <f>'CUSTOS EQUIPAMENTOS'!K12</f>
        <v>0.1135405042775918</v>
      </c>
      <c r="F18" s="27">
        <f>SUM(B18:E18)</f>
        <v>0.26795187569393752</v>
      </c>
      <c r="G18" s="28">
        <f>'Dados do Contrato  '!$B$7*'COMPOSIÇÃO DE PREÇO'!F18</f>
        <v>3478.3556453894403</v>
      </c>
      <c r="H18" s="6">
        <f>F18*$H$3</f>
        <v>0.61628931409605625</v>
      </c>
      <c r="I18" s="6">
        <f>'Dados do Contrato  '!$B$7*'COMPOSIÇÃO DE PREÇO'!H18</f>
        <v>8000.2179843957128</v>
      </c>
      <c r="J18" s="6">
        <f>H18*$J$3</f>
        <v>0.7395471769152675</v>
      </c>
      <c r="K18" s="6">
        <f>J18*'Dados do Contrato  '!$B$7</f>
        <v>9600.2615812748554</v>
      </c>
      <c r="L18" s="69">
        <f>I18/$I$23</f>
        <v>4.5311471840279623E-2</v>
      </c>
      <c r="M18" s="7">
        <f>G18/$I$23</f>
        <v>1.9700639930556357E-2</v>
      </c>
      <c r="N18" s="38">
        <f>I18-G18</f>
        <v>4521.862339006273</v>
      </c>
      <c r="O18" s="7">
        <f t="shared" si="0"/>
        <v>2.561083190972327E-2</v>
      </c>
      <c r="P18">
        <v>3</v>
      </c>
    </row>
    <row r="19" spans="1:16" ht="15" thickBot="1" x14ac:dyDescent="0.35">
      <c r="A19" s="13" t="s">
        <v>16</v>
      </c>
      <c r="B19" s="14">
        <f>IF('Dados do Contrato  '!B4&lt;&gt;0,'CUSTOS EQUIPAMENTOS'!D14/'Dados do Contrato  '!$B$4,0)</f>
        <v>5.5894308943089423E-2</v>
      </c>
      <c r="C19" s="14">
        <f>IF('Dados do Contrato  '!B4&lt;&gt;0,'CUSTOS EQUIPAMENTOS'!F14/'Dados do Contrato  '!$B$4,0)</f>
        <v>4.3191056910569105E-2</v>
      </c>
      <c r="D19" s="14">
        <f>IF('Dados do Contrato  '!B4&lt;&gt;0,'CUSTOS EQUIPAMENTOS'!H14/'Dados do Contrato  '!$B$4,0)</f>
        <v>2.6743688489516471E-2</v>
      </c>
      <c r="E19" s="14">
        <f>'CUSTOS EQUIPAMENTOS'!K14</f>
        <v>0.1135405042775918</v>
      </c>
      <c r="F19" s="14">
        <f>SUM(B19:E19)</f>
        <v>0.23936955862076678</v>
      </c>
      <c r="G19" s="17">
        <f>'Dados do Contrato  '!$B$7*'COMPOSIÇÃO DE PREÇO'!F19</f>
        <v>3107.3208702370011</v>
      </c>
      <c r="H19" s="6">
        <f>F19*$H$3</f>
        <v>0.55054998482776352</v>
      </c>
      <c r="I19" s="6">
        <f>'Dados do Contrato  '!$B$7*'COMPOSIÇÃO DE PREÇO'!H19</f>
        <v>7146.8380015451021</v>
      </c>
      <c r="J19" s="6">
        <f>H19*$J$3</f>
        <v>0.6606599817933162</v>
      </c>
      <c r="K19" s="6">
        <f>J19*'Dados do Contrato  '!$B$7</f>
        <v>8576.2056018541225</v>
      </c>
      <c r="L19" s="69">
        <f>I19/$I$23</f>
        <v>4.0478115657058764E-2</v>
      </c>
      <c r="M19" s="7">
        <f>G19/$I$23</f>
        <v>1.7599180720460333E-2</v>
      </c>
      <c r="N19" s="38">
        <f>I19-G19</f>
        <v>4039.5171313081009</v>
      </c>
      <c r="O19" s="7">
        <f t="shared" si="0"/>
        <v>2.2878934936598431E-2</v>
      </c>
      <c r="P19">
        <v>4</v>
      </c>
    </row>
    <row r="20" spans="1:16" ht="15" thickBot="1" x14ac:dyDescent="0.35">
      <c r="A20" s="92" t="s">
        <v>17</v>
      </c>
      <c r="B20" s="29"/>
      <c r="C20" s="29"/>
      <c r="D20" s="29"/>
      <c r="E20" s="29"/>
      <c r="F20" s="29"/>
      <c r="G20" s="30"/>
      <c r="H20" s="6"/>
      <c r="I20" s="6"/>
      <c r="J20" s="6"/>
      <c r="K20" s="6"/>
      <c r="L20" s="69"/>
      <c r="M20" s="7"/>
      <c r="N20" s="38"/>
      <c r="O20" s="7"/>
    </row>
    <row r="21" spans="1:16" ht="15" thickBot="1" x14ac:dyDescent="0.35">
      <c r="A21" s="4" t="s">
        <v>18</v>
      </c>
      <c r="B21" s="31">
        <f>IF('Dados do Contrato  '!B4&lt;&gt;0,'CUSTOS EQUIPAMENTOS'!D13/'Dados do Contrato  '!$B$4,0)</f>
        <v>0.41920731707317072</v>
      </c>
      <c r="C21" s="8">
        <f>IF('Dados do Contrato  '!B4&lt;&gt;0,'CUSTOS EQUIPAMENTOS'!F13/'Dados do Contrato  '!$B$4,0)</f>
        <v>0.17784552845528454</v>
      </c>
      <c r="D21" s="8">
        <f>IF('Dados do Contrato  '!B4&lt;&gt;0,'CUSTOS EQUIPAMENTOS'!H13/'Dados do Contrato  '!$B$4,0)</f>
        <v>0.10697475395806588</v>
      </c>
      <c r="E21" s="8">
        <f>'CUSTOS EQUIPAMENTOS'!K13</f>
        <v>0.1135405042775918</v>
      </c>
      <c r="F21" s="8">
        <f>SUM(B21:E21)</f>
        <v>0.81756810376411293</v>
      </c>
      <c r="G21" s="32">
        <f>'Dados do Contrato  '!$B$7*'COMPOSIÇÃO DE PREÇO'!F21</f>
        <v>10613.072298349967</v>
      </c>
      <c r="H21" s="6">
        <f>F21*$H$3</f>
        <v>1.8804066386574596</v>
      </c>
      <c r="I21" s="6">
        <f>'Dados do Contrato  '!$B$7*'COMPOSIÇÃO DE PREÇO'!H21</f>
        <v>24410.066286204921</v>
      </c>
      <c r="J21" s="6">
        <f>H21*$J$3</f>
        <v>2.2564879663889514</v>
      </c>
      <c r="K21" s="6">
        <f>J21*'Dados do Contrato  '!$B$7</f>
        <v>29292.079543445903</v>
      </c>
      <c r="L21" s="69">
        <f>I21/$I$23</f>
        <v>0.1382532367623078</v>
      </c>
      <c r="M21" s="7">
        <f>G21/$I$23</f>
        <v>6.011010294013383E-2</v>
      </c>
      <c r="N21" s="38">
        <f>I21-G21</f>
        <v>13796.993987854954</v>
      </c>
      <c r="O21" s="7">
        <f t="shared" si="0"/>
        <v>7.8143133822173957E-2</v>
      </c>
      <c r="P21">
        <v>1</v>
      </c>
    </row>
    <row r="22" spans="1:16" ht="15" thickBot="1" x14ac:dyDescent="0.35">
      <c r="A22" s="204" t="s">
        <v>4</v>
      </c>
      <c r="B22" s="205"/>
      <c r="C22" s="205"/>
      <c r="D22" s="205"/>
      <c r="E22" s="205"/>
      <c r="F22" s="18"/>
      <c r="G22" s="19"/>
      <c r="H22" s="6"/>
      <c r="I22" s="6"/>
      <c r="J22" s="6"/>
      <c r="K22" s="6"/>
      <c r="M22" s="7"/>
    </row>
    <row r="23" spans="1:16" ht="15" thickBot="1" x14ac:dyDescent="0.35">
      <c r="A23" s="33"/>
      <c r="B23" s="34"/>
      <c r="C23" s="34"/>
      <c r="D23" s="34"/>
      <c r="E23" s="34" t="s">
        <v>19</v>
      </c>
      <c r="F23" s="57">
        <f>SUM(F21,F16:F19,F11,F9)</f>
        <v>4.9027937173657072</v>
      </c>
      <c r="G23" s="35">
        <f>SUM(G21,G16:G19,G13,G9,G6)</f>
        <v>100119.57971630481</v>
      </c>
      <c r="H23" s="6">
        <f>SUM(H6:H21)</f>
        <v>19.658032749204668</v>
      </c>
      <c r="I23" s="6">
        <f>SUM(I6:I22)</f>
        <v>176560.54106112529</v>
      </c>
      <c r="J23" s="6">
        <f>SUM(J9:J21)</f>
        <v>13.088642334105229</v>
      </c>
      <c r="K23" s="6">
        <f>SUM(K6:K22)</f>
        <v>211872.64927335034</v>
      </c>
      <c r="L23" s="38">
        <f>I23-G23</f>
        <v>76440.961344820476</v>
      </c>
      <c r="M23" s="7">
        <f>G23/$I$23</f>
        <v>0.56705523847281025</v>
      </c>
      <c r="P23" s="7"/>
    </row>
    <row r="24" spans="1:16" ht="15" thickBot="1" x14ac:dyDescent="0.35">
      <c r="B24" s="36">
        <f>SUM(B6:B21)</f>
        <v>4.0231058194445231</v>
      </c>
      <c r="C24" s="36">
        <f>SUM(C6:C21)</f>
        <v>1.2604301680023129</v>
      </c>
      <c r="D24" s="36">
        <f>SUM(D6:D21)</f>
        <v>0.92772374952157233</v>
      </c>
      <c r="E24" s="36">
        <f>SUM(E6:E21)</f>
        <v>0.68124302566555073</v>
      </c>
      <c r="F24" s="36">
        <f>SUM(F6:F21)</f>
        <v>11.90750276263396</v>
      </c>
      <c r="L24" s="52"/>
    </row>
    <row r="25" spans="1:16" ht="15" thickBot="1" x14ac:dyDescent="0.35">
      <c r="B25" s="6"/>
      <c r="E25" s="200" t="s">
        <v>106</v>
      </c>
      <c r="F25" s="201"/>
      <c r="G25" s="201"/>
      <c r="H25" s="87">
        <f>H23</f>
        <v>19.658032749204668</v>
      </c>
      <c r="J25" s="38">
        <f>SUM(H9:H11)</f>
        <v>6.68</v>
      </c>
      <c r="K25" s="38"/>
    </row>
    <row r="26" spans="1:16" x14ac:dyDescent="0.3">
      <c r="E26" s="81" t="s">
        <v>20</v>
      </c>
      <c r="F26" s="82"/>
      <c r="G26" s="83">
        <f>Terraplenagem!F18</f>
        <v>564753.06016500003</v>
      </c>
      <c r="H26" s="84"/>
      <c r="J26" s="38">
        <f>SUM(H17:H21)</f>
        <v>4.2272019450876908</v>
      </c>
      <c r="L26" s="38"/>
    </row>
    <row r="27" spans="1:16" x14ac:dyDescent="0.3">
      <c r="E27" s="1"/>
      <c r="H27" s="3"/>
      <c r="J27" s="38">
        <f>SUM(J25:J26)</f>
        <v>10.90720194508769</v>
      </c>
    </row>
    <row r="28" spans="1:16" x14ac:dyDescent="0.3">
      <c r="E28" s="1" t="s">
        <v>21</v>
      </c>
      <c r="G28" s="38">
        <f>G26-G25-G23</f>
        <v>464633.48044869525</v>
      </c>
      <c r="H28" s="85"/>
      <c r="I28" s="38"/>
      <c r="J28" s="38"/>
      <c r="K28" s="38"/>
    </row>
    <row r="29" spans="1:16" x14ac:dyDescent="0.3">
      <c r="E29" s="1" t="s">
        <v>22</v>
      </c>
      <c r="F29" s="39">
        <v>0.38250000000000001</v>
      </c>
      <c r="G29" s="38">
        <f>G28*F29</f>
        <v>177722.30627162594</v>
      </c>
      <c r="H29" s="3"/>
    </row>
    <row r="30" spans="1:16" x14ac:dyDescent="0.3">
      <c r="E30" s="1"/>
      <c r="F30" s="37"/>
      <c r="G30" s="38"/>
      <c r="H30" s="3"/>
    </row>
    <row r="31" spans="1:16" ht="15" thickBot="1" x14ac:dyDescent="0.35">
      <c r="E31" s="33" t="s">
        <v>23</v>
      </c>
      <c r="F31" s="34"/>
      <c r="G31" s="57">
        <f>G28-G29</f>
        <v>286911.17417706933</v>
      </c>
      <c r="H31" s="86">
        <f>IF(G26&lt;&gt;0,G31/G26,0)</f>
        <v>0.50802942810658602</v>
      </c>
    </row>
    <row r="32" spans="1:16" ht="15" thickBot="1" x14ac:dyDescent="0.35">
      <c r="E32" s="200" t="s">
        <v>105</v>
      </c>
      <c r="F32" s="201"/>
      <c r="G32" s="201"/>
      <c r="H32" s="87">
        <f>J23</f>
        <v>13.088642334105229</v>
      </c>
    </row>
    <row r="33" spans="5:8" x14ac:dyDescent="0.3">
      <c r="E33" s="81" t="s">
        <v>20</v>
      </c>
      <c r="F33" s="82"/>
      <c r="G33" s="83">
        <f>K23</f>
        <v>211872.64927335034</v>
      </c>
      <c r="H33" s="84"/>
    </row>
    <row r="34" spans="5:8" x14ac:dyDescent="0.3">
      <c r="E34" s="1"/>
      <c r="H34" s="3"/>
    </row>
    <row r="35" spans="5:8" x14ac:dyDescent="0.3">
      <c r="E35" s="1" t="s">
        <v>21</v>
      </c>
      <c r="G35" s="38">
        <f>G33-G23</f>
        <v>111753.06955704553</v>
      </c>
      <c r="H35" s="85"/>
    </row>
    <row r="36" spans="5:8" x14ac:dyDescent="0.3">
      <c r="E36" s="1" t="s">
        <v>22</v>
      </c>
      <c r="F36" s="39">
        <v>0.38250000000000001</v>
      </c>
      <c r="G36" s="38">
        <f>G35*F36</f>
        <v>42745.549105569917</v>
      </c>
      <c r="H36" s="3"/>
    </row>
    <row r="37" spans="5:8" x14ac:dyDescent="0.3">
      <c r="E37" s="1"/>
      <c r="F37" s="37"/>
      <c r="G37" s="38"/>
      <c r="H37" s="3"/>
    </row>
    <row r="38" spans="5:8" ht="15" thickBot="1" x14ac:dyDescent="0.35">
      <c r="E38" s="33" t="s">
        <v>23</v>
      </c>
      <c r="F38" s="34"/>
      <c r="G38" s="57">
        <f>G35-G36</f>
        <v>69007.520451475604</v>
      </c>
      <c r="H38" s="86">
        <f>IF(G33&lt;&gt;0,G38/G33,0)</f>
        <v>0.32570282520253296</v>
      </c>
    </row>
  </sheetData>
  <mergeCells count="7">
    <mergeCell ref="E32:G32"/>
    <mergeCell ref="E25:G25"/>
    <mergeCell ref="A15:C15"/>
    <mergeCell ref="A22:E22"/>
    <mergeCell ref="A3:G3"/>
    <mergeCell ref="A8:G8"/>
    <mergeCell ref="A13:E13"/>
  </mergeCells>
  <pageMargins left="0.511811024" right="0.511811024" top="0.78740157499999996" bottom="0.78740157499999996" header="0.31496062000000002" footer="0.3149606200000000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D3DEB5-4D73-4C53-BB7D-6CB3DC70AB01}">
  <dimension ref="A2:M36"/>
  <sheetViews>
    <sheetView workbookViewId="0">
      <selection activeCell="I17" sqref="I17:I21"/>
    </sheetView>
  </sheetViews>
  <sheetFormatPr defaultRowHeight="14.4" x14ac:dyDescent="0.3"/>
  <cols>
    <col min="1" max="1" width="20.6640625" bestFit="1" customWidth="1"/>
    <col min="2" max="13" width="16.88671875" customWidth="1"/>
  </cols>
  <sheetData>
    <row r="2" spans="1:13" x14ac:dyDescent="0.3">
      <c r="D2">
        <f>D6/'Dados do Contrato  '!C4</f>
        <v>0.17466971544715446</v>
      </c>
    </row>
    <row r="3" spans="1:13" ht="28.8" x14ac:dyDescent="0.3">
      <c r="A3" s="80" t="s">
        <v>95</v>
      </c>
      <c r="B3" s="40" t="s">
        <v>96</v>
      </c>
      <c r="C3" s="80" t="s">
        <v>97</v>
      </c>
      <c r="D3" s="80" t="s">
        <v>98</v>
      </c>
      <c r="E3" s="80" t="s">
        <v>99</v>
      </c>
      <c r="F3" s="80" t="s">
        <v>100</v>
      </c>
      <c r="G3" s="80" t="s">
        <v>73</v>
      </c>
      <c r="H3" s="80" t="s">
        <v>101</v>
      </c>
      <c r="I3" s="80" t="s">
        <v>102</v>
      </c>
      <c r="J3" s="80" t="s">
        <v>103</v>
      </c>
      <c r="K3" s="80" t="s">
        <v>94</v>
      </c>
      <c r="L3" s="80" t="s">
        <v>104</v>
      </c>
      <c r="M3" s="80" t="s">
        <v>89</v>
      </c>
    </row>
    <row r="4" spans="1:13" x14ac:dyDescent="0.3">
      <c r="B4" s="2"/>
      <c r="C4" t="s">
        <v>70</v>
      </c>
      <c r="E4" t="s">
        <v>69</v>
      </c>
      <c r="G4" t="s">
        <v>73</v>
      </c>
      <c r="I4" t="s">
        <v>79</v>
      </c>
      <c r="M4" t="s">
        <v>89</v>
      </c>
    </row>
    <row r="5" spans="1:13" x14ac:dyDescent="0.3">
      <c r="A5" t="s">
        <v>24</v>
      </c>
      <c r="B5" s="2">
        <f>IF('Dados do Contrato  '!D18&gt;0,'Dados do Contrato  '!D18,0)</f>
        <v>0</v>
      </c>
      <c r="C5" s="78">
        <f>'MÉDIA CONSUMO '!E5</f>
        <v>66</v>
      </c>
      <c r="D5" s="78">
        <f>C5*'Dados do Contrato  '!$J$16*B5</f>
        <v>0</v>
      </c>
      <c r="E5" s="78">
        <v>34.5</v>
      </c>
      <c r="F5" s="78">
        <f>E5*'Dados do Contrato  '!$F$10*B5</f>
        <v>0</v>
      </c>
      <c r="G5" s="78">
        <v>32.631578947368418</v>
      </c>
      <c r="H5" s="78">
        <f>G5*'Dados do Contrato  '!$F$10*B5</f>
        <v>0</v>
      </c>
      <c r="J5" s="78">
        <f>I5*B5*'Dados do Contrato  '!$F$10</f>
        <v>0</v>
      </c>
      <c r="K5" s="38">
        <f>IF(B5&gt;0,$J$24,0)</f>
        <v>0</v>
      </c>
      <c r="L5" s="38">
        <f>J5+H5+F5+D5</f>
        <v>0</v>
      </c>
      <c r="M5" s="38">
        <f>L5/'Dados do Contrato  '!$F$7</f>
        <v>0</v>
      </c>
    </row>
    <row r="6" spans="1:13" x14ac:dyDescent="0.3">
      <c r="A6" s="78" t="s">
        <v>25</v>
      </c>
      <c r="B6" s="2">
        <f>IF('Dados do Contrato  '!D19&gt;0,'Dados do Contrato  '!D19,0)</f>
        <v>1</v>
      </c>
      <c r="C6" s="78">
        <f>'MÉDIA CONSUMO '!E6</f>
        <v>93.5</v>
      </c>
      <c r="D6" s="78">
        <f>C6*'Dados do Contrato  '!$J$16*B6</f>
        <v>3083.7112423780486</v>
      </c>
      <c r="E6" s="78">
        <v>37</v>
      </c>
      <c r="F6" s="78">
        <f>E6*'Dados do Contrato  '!$F$10*B6</f>
        <v>1220.2921493902438</v>
      </c>
      <c r="G6" s="78">
        <v>32.631578947368418</v>
      </c>
      <c r="H6" s="78">
        <f>G6*'Dados do Contrato  '!$F$10*B6</f>
        <v>1076.2178273427469</v>
      </c>
      <c r="I6" s="78"/>
      <c r="J6" s="78">
        <f>I6*B6*'Dados do Contrato  '!$F$10</f>
        <v>0</v>
      </c>
      <c r="K6" s="38">
        <f>IF(B6&gt;0,$J$24,0)</f>
        <v>0.1135405042775918</v>
      </c>
      <c r="L6" s="38">
        <f t="shared" ref="L6:L21" si="0">J6+H6+F6+D6</f>
        <v>5380.2212191110393</v>
      </c>
      <c r="M6" s="38">
        <f>L6/'Dados do Contrato  '!$F$7</f>
        <v>26101.052631578947</v>
      </c>
    </row>
    <row r="7" spans="1:13" x14ac:dyDescent="0.3">
      <c r="A7" s="78" t="s">
        <v>26</v>
      </c>
      <c r="B7" s="2">
        <f>IF('Dados do Contrato  '!D20&gt;0,'Dados do Contrato  '!D20,0)</f>
        <v>1</v>
      </c>
      <c r="C7" s="78">
        <f>'MÉDIA CONSUMO '!E7</f>
        <v>203.5</v>
      </c>
      <c r="D7" s="78">
        <f>C7*'Dados do Contrato  '!$J$16*B7</f>
        <v>6711.6068216463409</v>
      </c>
      <c r="E7" s="78">
        <v>48</v>
      </c>
      <c r="F7" s="78">
        <f>E7*'Dados do Contrato  '!$F$10*B7</f>
        <v>1583.0817073170729</v>
      </c>
      <c r="G7" s="78">
        <v>32.631578947368418</v>
      </c>
      <c r="H7" s="78">
        <f>G7*'Dados do Contrato  '!$F$10*B7</f>
        <v>1076.2178273427469</v>
      </c>
      <c r="I7" s="78"/>
      <c r="J7" s="78">
        <f>I7*B7*'Dados do Contrato  '!$F$10</f>
        <v>0</v>
      </c>
      <c r="K7" s="38">
        <f t="shared" ref="K7:K14" si="1">IF(B7&gt;0,$J$24,0)</f>
        <v>0.1135405042775918</v>
      </c>
      <c r="L7" s="38">
        <f t="shared" si="0"/>
        <v>9370.9063563061609</v>
      </c>
      <c r="M7" s="38">
        <f>L7/'Dados do Contrato  '!$F$7</f>
        <v>45461.052631578947</v>
      </c>
    </row>
    <row r="8" spans="1:13" x14ac:dyDescent="0.3">
      <c r="A8" s="78" t="s">
        <v>27</v>
      </c>
      <c r="B8" s="2">
        <f>IF('Dados do Contrato  '!D21&gt;0,'Dados do Contrato  '!D21,0)</f>
        <v>0</v>
      </c>
      <c r="C8" s="78">
        <f>'MÉDIA CONSUMO '!E8</f>
        <v>214.5</v>
      </c>
      <c r="D8" s="78">
        <f>C8*'Dados do Contrato  '!$J$16*B8</f>
        <v>0</v>
      </c>
      <c r="E8" s="78">
        <v>53</v>
      </c>
      <c r="F8" s="78">
        <f>E8*'Dados do Contrato  '!$F$10*B8</f>
        <v>0</v>
      </c>
      <c r="G8" s="78">
        <v>32.631578947368418</v>
      </c>
      <c r="H8" s="78">
        <f>G8*'Dados do Contrato  '!$F$10*B8</f>
        <v>0</v>
      </c>
      <c r="I8" s="78"/>
      <c r="J8" s="78">
        <f>I8*B8*'Dados do Contrato  '!$F$10</f>
        <v>0</v>
      </c>
      <c r="K8" s="38">
        <f t="shared" si="1"/>
        <v>0</v>
      </c>
      <c r="L8" s="38">
        <f t="shared" si="0"/>
        <v>0</v>
      </c>
      <c r="M8" s="38">
        <f>L8/'Dados do Contrato  '!$F$7</f>
        <v>0</v>
      </c>
    </row>
    <row r="9" spans="1:13" x14ac:dyDescent="0.3">
      <c r="A9" s="78" t="s">
        <v>28</v>
      </c>
      <c r="B9" s="2">
        <f>IF('Dados do Contrato  '!D23&gt;0,'Dados do Contrato  '!D23,0)</f>
        <v>0</v>
      </c>
      <c r="C9" s="78">
        <f>'MÉDIA CONSUMO '!H9</f>
        <v>154</v>
      </c>
      <c r="D9" s="78">
        <f>C9*'Dados do Contrato  '!$J$16*B9</f>
        <v>0</v>
      </c>
      <c r="E9" s="78">
        <v>43.5</v>
      </c>
      <c r="F9" s="78">
        <f>E9*'Dados do Contrato  '!$F$10*B9</f>
        <v>0</v>
      </c>
      <c r="G9" s="78">
        <v>24.736842105263158</v>
      </c>
      <c r="H9" s="78">
        <f>G9*'Dados do Contrato  '!$F$10*B9</f>
        <v>0</v>
      </c>
      <c r="I9" s="78"/>
      <c r="J9" s="78">
        <f>I9*B9*'Dados do Contrato  '!$F$10</f>
        <v>0</v>
      </c>
      <c r="K9" s="38">
        <f t="shared" si="1"/>
        <v>0</v>
      </c>
      <c r="L9" s="38">
        <f t="shared" si="0"/>
        <v>0</v>
      </c>
      <c r="M9" s="38">
        <f>L9/'Dados do Contrato  '!$F$7</f>
        <v>0</v>
      </c>
    </row>
    <row r="10" spans="1:13" x14ac:dyDescent="0.3">
      <c r="A10" s="78" t="s">
        <v>13</v>
      </c>
      <c r="B10" s="2">
        <f>IF('Dados do Contrato  '!D24&gt;0,'Dados do Contrato  '!D24,0)</f>
        <v>0</v>
      </c>
      <c r="C10" s="78">
        <f>'MÉDIA CONSUMO '!E10</f>
        <v>214.5</v>
      </c>
      <c r="D10" s="78">
        <f>C10*'Dados do Contrato  '!$J$16*B10</f>
        <v>0</v>
      </c>
      <c r="E10" s="78">
        <v>43.5</v>
      </c>
      <c r="F10" s="78">
        <f>E10*'Dados do Contrato  '!$F$10*B10</f>
        <v>0</v>
      </c>
      <c r="G10" s="78">
        <v>24.736842105263158</v>
      </c>
      <c r="H10" s="78">
        <f>G10*'Dados do Contrato  '!$F$10*B10</f>
        <v>0</v>
      </c>
      <c r="I10" s="78"/>
      <c r="J10" s="78">
        <f>I10*B10*'Dados do Contrato  '!$F$10</f>
        <v>0</v>
      </c>
      <c r="K10" s="38">
        <f t="shared" si="1"/>
        <v>0</v>
      </c>
      <c r="L10" s="38">
        <f t="shared" si="0"/>
        <v>0</v>
      </c>
      <c r="M10" s="38">
        <f>L10/'Dados do Contrato  '!$F$7</f>
        <v>0</v>
      </c>
    </row>
    <row r="11" spans="1:13" x14ac:dyDescent="0.3">
      <c r="A11" s="78" t="s">
        <v>29</v>
      </c>
      <c r="B11" s="2">
        <f>IF('Dados do Contrato  '!D25&lt;&gt;0,'Dados do Contrato  '!D25,0)</f>
        <v>1</v>
      </c>
      <c r="C11" s="78">
        <f>'MÉDIA CONSUMO '!E11</f>
        <v>93.5</v>
      </c>
      <c r="D11" s="78">
        <f>C11*'Dados do Contrato  '!$J$16*B11</f>
        <v>3083.7112423780486</v>
      </c>
      <c r="E11" s="78">
        <v>39</v>
      </c>
      <c r="F11" s="78">
        <f>E11*'Dados do Contrato  '!$F$10*B11</f>
        <v>1286.2538871951217</v>
      </c>
      <c r="G11" s="78">
        <v>24.736842105263158</v>
      </c>
      <c r="H11" s="78">
        <f>G11*'Dados do Contrato  '!$F$10*B11</f>
        <v>815.84254653401786</v>
      </c>
      <c r="I11" s="78"/>
      <c r="J11" s="78">
        <f>I11*B11*'Dados do Contrato  '!$F$10</f>
        <v>0</v>
      </c>
      <c r="K11" s="38">
        <f t="shared" si="1"/>
        <v>0.1135405042775918</v>
      </c>
      <c r="L11" s="38">
        <f t="shared" si="0"/>
        <v>5185.8076761071879</v>
      </c>
      <c r="M11" s="38">
        <f>L11/'Dados do Contrato  '!$F$7</f>
        <v>25157.894736842103</v>
      </c>
    </row>
    <row r="12" spans="1:13" x14ac:dyDescent="0.3">
      <c r="A12" s="78" t="s">
        <v>30</v>
      </c>
      <c r="B12" s="2">
        <f>IF('Dados do Contrato  '!D26&gt;0,'Dados do Contrato  '!D26,0)</f>
        <v>0.5</v>
      </c>
      <c r="C12" s="78">
        <f>'MÉDIA CONSUMO '!E12</f>
        <v>82.5</v>
      </c>
      <c r="D12" s="78">
        <f>C12*'Dados do Contrato  '!$J$16*B12</f>
        <v>1360.4608422256097</v>
      </c>
      <c r="E12" s="78">
        <v>18</v>
      </c>
      <c r="F12" s="78">
        <f>E12*'Dados do Contrato  '!$F$10*B12</f>
        <v>296.82782012195116</v>
      </c>
      <c r="G12" s="78">
        <v>21.05263157894737</v>
      </c>
      <c r="H12" s="78">
        <f>G12*'Dados do Contrato  '!$F$10*B12</f>
        <v>347.16704107830549</v>
      </c>
      <c r="I12" s="78"/>
      <c r="J12" s="78">
        <f>I12*B12*'Dados do Contrato  '!$F$10</f>
        <v>0</v>
      </c>
      <c r="K12" s="38">
        <f t="shared" si="1"/>
        <v>0.1135405042775918</v>
      </c>
      <c r="L12" s="38">
        <f t="shared" si="0"/>
        <v>2004.4557034258664</v>
      </c>
      <c r="M12" s="38">
        <f>L12/'Dados do Contrato  '!$F$7</f>
        <v>9724.21052631579</v>
      </c>
    </row>
    <row r="13" spans="1:13" x14ac:dyDescent="0.3">
      <c r="A13" s="78" t="s">
        <v>31</v>
      </c>
      <c r="B13" s="2">
        <f>IF('Dados do Contrato  '!D27&gt;0,'Dados do Contrato  '!D27,0)</f>
        <v>2</v>
      </c>
      <c r="C13" s="78">
        <f>'MÉDIA CONSUMO '!E13</f>
        <v>82.5</v>
      </c>
      <c r="D13" s="78">
        <f>C13*'Dados do Contrato  '!$J$16*B13</f>
        <v>5441.8433689024387</v>
      </c>
      <c r="E13" s="78">
        <v>35</v>
      </c>
      <c r="F13" s="78">
        <f>E13*'Dados do Contrato  '!$F$10*B13</f>
        <v>2308.6608231707314</v>
      </c>
      <c r="G13" s="78">
        <v>21.05263157894737</v>
      </c>
      <c r="H13" s="78">
        <f>G13*'Dados do Contrato  '!$F$10*B13</f>
        <v>1388.668164313222</v>
      </c>
      <c r="I13" s="78"/>
      <c r="J13" s="78">
        <f>I13*B13*'Dados do Contrato  '!$F$10</f>
        <v>0</v>
      </c>
      <c r="K13" s="38">
        <f t="shared" si="1"/>
        <v>0.1135405042775918</v>
      </c>
      <c r="L13" s="38">
        <f t="shared" si="0"/>
        <v>9139.1723563863925</v>
      </c>
      <c r="M13" s="38">
        <f>L13/'Dados do Contrato  '!$F$7</f>
        <v>44336.84210526316</v>
      </c>
    </row>
    <row r="14" spans="1:13" x14ac:dyDescent="0.3">
      <c r="A14" s="78" t="s">
        <v>32</v>
      </c>
      <c r="B14" s="2">
        <f>IF('Dados do Contrato  '!D28&gt;0,'Dados do Contrato  '!D28,0)</f>
        <v>0.5</v>
      </c>
      <c r="C14" s="78">
        <f>'MÉDIA CONSUMO '!E14</f>
        <v>44</v>
      </c>
      <c r="D14" s="78">
        <f>C14*'Dados do Contrato  '!$J$16*B14</f>
        <v>725.57911585365844</v>
      </c>
      <c r="E14" s="78">
        <v>34</v>
      </c>
      <c r="F14" s="78">
        <f>E14*'Dados do Contrato  '!$F$10*B14</f>
        <v>560.67477134146338</v>
      </c>
      <c r="G14" s="78">
        <v>21.05263157894737</v>
      </c>
      <c r="H14" s="78">
        <f>G14*'Dados do Contrato  '!$F$10*B14</f>
        <v>347.16704107830549</v>
      </c>
      <c r="I14" s="78"/>
      <c r="J14" s="78">
        <f>I14*B14*'Dados do Contrato  '!$F$10</f>
        <v>0</v>
      </c>
      <c r="K14" s="38">
        <f t="shared" si="1"/>
        <v>0.1135405042775918</v>
      </c>
      <c r="L14" s="38">
        <f t="shared" si="0"/>
        <v>1633.4209282734273</v>
      </c>
      <c r="M14" s="38">
        <f>L14/'Dados do Contrato  '!$F$7</f>
        <v>7924.2105263157891</v>
      </c>
    </row>
    <row r="15" spans="1:13" x14ac:dyDescent="0.3">
      <c r="A15" s="78" t="s">
        <v>71</v>
      </c>
      <c r="B15" s="2">
        <f>IF('Dados do Contrato  '!D29&gt;0,'Dados do Contrato  '!D29,0)</f>
        <v>1</v>
      </c>
      <c r="C15" s="78"/>
      <c r="D15" s="78"/>
      <c r="E15" s="78"/>
      <c r="F15" s="78">
        <f>E15*'Dados do Contrato  '!$F$10*B15</f>
        <v>0</v>
      </c>
      <c r="G15" s="78">
        <v>21.05263157894737</v>
      </c>
      <c r="H15" s="78">
        <f>G15*'Dados do Contrato  '!$F$10*B15</f>
        <v>694.33408215661098</v>
      </c>
      <c r="I15" s="78"/>
      <c r="J15" s="78">
        <f>I15*B15*'Dados do Contrato  '!$F$10</f>
        <v>0</v>
      </c>
      <c r="K15" s="78"/>
      <c r="L15" s="38">
        <f t="shared" si="0"/>
        <v>694.33408215661098</v>
      </c>
      <c r="M15" s="38">
        <f>L15/'Dados do Contrato  '!$F$7</f>
        <v>3368.4210526315787</v>
      </c>
    </row>
    <row r="16" spans="1:13" x14ac:dyDescent="0.3">
      <c r="A16" s="78" t="s">
        <v>72</v>
      </c>
      <c r="B16" s="2">
        <f>IF('Dados do Contrato  '!D30&gt;0,'Dados do Contrato  '!D30,0)</f>
        <v>1</v>
      </c>
      <c r="C16" s="78"/>
      <c r="D16" s="78"/>
      <c r="E16" s="78"/>
      <c r="F16" s="78">
        <f>E16*'Dados do Contrato  '!$F$10*B16</f>
        <v>0</v>
      </c>
      <c r="G16" s="78">
        <v>24.736842105263158</v>
      </c>
      <c r="H16" s="78">
        <f>G16*'Dados do Contrato  '!$F$10*B16</f>
        <v>815.84254653401786</v>
      </c>
      <c r="I16" s="78"/>
      <c r="J16" s="78">
        <f>I16*B16*'Dados do Contrato  '!$F$10</f>
        <v>0</v>
      </c>
      <c r="K16" s="78"/>
      <c r="L16" s="38">
        <f t="shared" si="0"/>
        <v>815.84254653401786</v>
      </c>
      <c r="M16" s="38">
        <f>L16/'Dados do Contrato  '!$F$7</f>
        <v>3957.894736842105</v>
      </c>
    </row>
    <row r="17" spans="1:13" x14ac:dyDescent="0.3">
      <c r="A17" s="78" t="s">
        <v>74</v>
      </c>
      <c r="B17" s="2">
        <f>IF('Dados do Contrato  '!D31&gt;0,'Dados do Contrato  '!D31,0)</f>
        <v>1</v>
      </c>
      <c r="C17" s="78"/>
      <c r="D17" s="78"/>
      <c r="E17" s="78"/>
      <c r="F17" s="78">
        <f>E17*'Dados do Contrato  '!$F$10*B17</f>
        <v>0</v>
      </c>
      <c r="G17" s="78"/>
      <c r="H17" s="78">
        <f>G17*'Dados do Contrato  '!$F$10*B17</f>
        <v>0</v>
      </c>
      <c r="I17" s="78">
        <v>88.888888888888886</v>
      </c>
      <c r="J17" s="78">
        <f>I17*'Dados do Contrato  '!$F$10*B17</f>
        <v>2931.6327913279129</v>
      </c>
      <c r="K17" s="78"/>
      <c r="L17" s="38">
        <f t="shared" si="0"/>
        <v>2931.6327913279129</v>
      </c>
      <c r="M17" s="38">
        <f>L17/'Dados do Contrato  '!$F$7</f>
        <v>14222.222222222221</v>
      </c>
    </row>
    <row r="18" spans="1:13" x14ac:dyDescent="0.3">
      <c r="A18" s="78" t="s">
        <v>75</v>
      </c>
      <c r="B18" s="2">
        <f>IF('Dados do Contrato  '!D32&gt;0,'Dados do Contrato  '!D32,0)</f>
        <v>1</v>
      </c>
      <c r="C18" s="78"/>
      <c r="D18" s="78"/>
      <c r="E18" s="78"/>
      <c r="F18" s="78">
        <f>E18*'Dados do Contrato  '!$F$10*B18</f>
        <v>0</v>
      </c>
      <c r="G18" s="78"/>
      <c r="H18" s="78">
        <f>G18*'Dados do Contrato  '!$F$10*B18</f>
        <v>0</v>
      </c>
      <c r="I18" s="78">
        <v>88.888888888888886</v>
      </c>
      <c r="J18" s="78">
        <f>I18*'Dados do Contrato  '!$F$10*B18</f>
        <v>2931.6327913279129</v>
      </c>
      <c r="K18" s="78"/>
      <c r="L18" s="38">
        <f t="shared" si="0"/>
        <v>2931.6327913279129</v>
      </c>
      <c r="M18" s="38">
        <f>L18/'Dados do Contrato  '!$F$7</f>
        <v>14222.222222222221</v>
      </c>
    </row>
    <row r="19" spans="1:13" x14ac:dyDescent="0.3">
      <c r="A19" s="78" t="s">
        <v>76</v>
      </c>
      <c r="B19" s="2">
        <f>IF('Dados do Contrato  '!D33&gt;0,'Dados do Contrato  '!D33,0)</f>
        <v>1</v>
      </c>
      <c r="C19" s="78"/>
      <c r="D19" s="78"/>
      <c r="E19" s="78"/>
      <c r="F19" s="78">
        <f>E19*'Dados do Contrato  '!$F$10*B19</f>
        <v>0</v>
      </c>
      <c r="G19" s="78"/>
      <c r="H19" s="78">
        <f>G19*'Dados do Contrato  '!$F$10*B19</f>
        <v>0</v>
      </c>
      <c r="I19" s="78">
        <v>46.111111111111114</v>
      </c>
      <c r="J19" s="78">
        <f>I19*'Dados do Contrato  '!$F$10*B19</f>
        <v>1520.784510501355</v>
      </c>
      <c r="K19" s="78"/>
      <c r="L19" s="38">
        <f t="shared" si="0"/>
        <v>1520.784510501355</v>
      </c>
      <c r="M19" s="38">
        <f>L19/'Dados do Contrato  '!$F$7</f>
        <v>7377.7777777777783</v>
      </c>
    </row>
    <row r="20" spans="1:13" x14ac:dyDescent="0.3">
      <c r="A20" s="78" t="s">
        <v>77</v>
      </c>
      <c r="B20" s="2">
        <f>IF('Dados do Contrato  '!D34&gt;0,'Dados do Contrato  '!D34,0)</f>
        <v>1</v>
      </c>
      <c r="C20" s="78"/>
      <c r="D20" s="78"/>
      <c r="E20" s="78"/>
      <c r="F20" s="78">
        <f>E20*'Dados do Contrato  '!$F$10*B20</f>
        <v>0</v>
      </c>
      <c r="G20" s="78"/>
      <c r="H20" s="78">
        <f>G20*'Dados do Contrato  '!$F$10*B20</f>
        <v>0</v>
      </c>
      <c r="I20" s="78">
        <f>(B22*40*30)/180</f>
        <v>80</v>
      </c>
      <c r="J20" s="78">
        <f>I20*'Dados do Contrato  '!$F$10*B20</f>
        <v>2638.4695121951218</v>
      </c>
      <c r="K20" s="78"/>
      <c r="L20" s="38">
        <f t="shared" si="0"/>
        <v>2638.4695121951218</v>
      </c>
      <c r="M20" s="38">
        <f>L20/'Dados do Contrato  '!$F$7</f>
        <v>12800</v>
      </c>
    </row>
    <row r="21" spans="1:13" x14ac:dyDescent="0.3">
      <c r="A21" s="78" t="s">
        <v>78</v>
      </c>
      <c r="B21" s="2">
        <f>IF('Dados do Contrato  '!D35&gt;0,'Dados do Contrato  '!D35,0)</f>
        <v>0</v>
      </c>
      <c r="C21" s="78"/>
      <c r="D21" s="78"/>
      <c r="E21" s="78"/>
      <c r="F21" s="78">
        <f>E21*'Dados do Contrato  '!$F$10*B21</f>
        <v>0</v>
      </c>
      <c r="G21" s="78"/>
      <c r="H21" s="78">
        <f>G21*'Dados do Contrato  '!$F$10*B21</f>
        <v>0</v>
      </c>
      <c r="I21" s="78">
        <v>138.88888888888889</v>
      </c>
      <c r="J21" s="78">
        <f>I21*'Dados do Contrato  '!$F$10*B21</f>
        <v>0</v>
      </c>
      <c r="K21" s="78"/>
      <c r="L21" s="38">
        <f t="shared" si="0"/>
        <v>0</v>
      </c>
      <c r="M21" s="38">
        <f>L21/'Dados do Contrato  '!$F$7</f>
        <v>0</v>
      </c>
    </row>
    <row r="22" spans="1:13" x14ac:dyDescent="0.3">
      <c r="B22" s="79">
        <f>SUM(B5:B21)</f>
        <v>12</v>
      </c>
      <c r="D22" s="38">
        <f>SUM(D5:D21)</f>
        <v>20406.912633384149</v>
      </c>
      <c r="J22" s="38">
        <f>SUM(J17:J21)</f>
        <v>10022.519605352303</v>
      </c>
      <c r="K22" s="38"/>
      <c r="L22" s="38">
        <f>SUM(L5:L21)</f>
        <v>44246.680473653003</v>
      </c>
      <c r="M22" s="38">
        <f>SUM(M5:M21)</f>
        <v>214653.80116959062</v>
      </c>
    </row>
    <row r="23" spans="1:13" x14ac:dyDescent="0.3">
      <c r="J23" s="78">
        <f>IF(J22&lt;&gt;0,J22/'Dados do Contrato  '!C4,0)</f>
        <v>0.56770252138795896</v>
      </c>
      <c r="K23" s="78">
        <f>IF(J22&lt;&gt;0,J22/'Dados do Contrato  '!B13,0)</f>
        <v>2.5079309279644835</v>
      </c>
    </row>
    <row r="24" spans="1:13" x14ac:dyDescent="0.3">
      <c r="J24" s="78">
        <f>J23/5</f>
        <v>0.1135405042775918</v>
      </c>
      <c r="K24" s="78">
        <f>K23/5</f>
        <v>0.50158618559289669</v>
      </c>
    </row>
    <row r="25" spans="1:13" x14ac:dyDescent="0.3">
      <c r="A25" t="s">
        <v>24</v>
      </c>
      <c r="B25">
        <v>0</v>
      </c>
      <c r="C25">
        <v>66</v>
      </c>
      <c r="D25" s="78"/>
      <c r="E25" s="78">
        <v>0</v>
      </c>
    </row>
    <row r="26" spans="1:13" x14ac:dyDescent="0.3">
      <c r="A26" t="s">
        <v>25</v>
      </c>
      <c r="B26">
        <v>1</v>
      </c>
      <c r="C26">
        <v>93.5</v>
      </c>
      <c r="D26" s="78">
        <v>15101</v>
      </c>
      <c r="E26" s="78">
        <v>12343.4609375</v>
      </c>
      <c r="F26" s="38">
        <f>E26-D26</f>
        <v>-2757.5390625</v>
      </c>
      <c r="J26" s="38">
        <f>J23/5</f>
        <v>0.1135405042775918</v>
      </c>
    </row>
    <row r="27" spans="1:13" x14ac:dyDescent="0.3">
      <c r="A27" t="s">
        <v>26</v>
      </c>
      <c r="B27">
        <v>0</v>
      </c>
      <c r="C27">
        <v>203.5</v>
      </c>
      <c r="D27" s="6"/>
      <c r="E27" s="50">
        <v>0</v>
      </c>
      <c r="F27" s="38">
        <f t="shared" ref="F27:F34" si="2">E27-D27</f>
        <v>0</v>
      </c>
    </row>
    <row r="28" spans="1:13" x14ac:dyDescent="0.3">
      <c r="A28" t="s">
        <v>27</v>
      </c>
      <c r="B28">
        <v>0</v>
      </c>
      <c r="C28">
        <v>214.5</v>
      </c>
      <c r="D28" s="6"/>
      <c r="E28" s="50">
        <v>0</v>
      </c>
      <c r="F28" s="38">
        <f t="shared" si="2"/>
        <v>0</v>
      </c>
    </row>
    <row r="29" spans="1:13" x14ac:dyDescent="0.3">
      <c r="A29" t="s">
        <v>28</v>
      </c>
      <c r="B29">
        <v>1</v>
      </c>
      <c r="C29">
        <v>154</v>
      </c>
      <c r="D29" s="6"/>
      <c r="E29" s="50">
        <v>0</v>
      </c>
      <c r="F29" s="38">
        <f t="shared" si="2"/>
        <v>0</v>
      </c>
    </row>
    <row r="30" spans="1:13" x14ac:dyDescent="0.3">
      <c r="A30" t="s">
        <v>13</v>
      </c>
      <c r="B30">
        <v>0</v>
      </c>
      <c r="C30">
        <v>214.5</v>
      </c>
      <c r="D30" s="6">
        <v>4046.26</v>
      </c>
      <c r="E30" s="50">
        <v>14158.67578125</v>
      </c>
      <c r="F30" s="38">
        <f>E30-D30</f>
        <v>10112.41578125</v>
      </c>
      <c r="H30">
        <v>16000</v>
      </c>
      <c r="I30" s="45">
        <f>H30/'Dados do Contrato  '!F9</f>
        <v>100</v>
      </c>
    </row>
    <row r="31" spans="1:13" x14ac:dyDescent="0.3">
      <c r="A31" t="s">
        <v>29</v>
      </c>
      <c r="B31">
        <v>1</v>
      </c>
      <c r="C31">
        <v>93.5</v>
      </c>
      <c r="D31" s="6">
        <v>10577.84</v>
      </c>
      <c r="E31" s="50">
        <v>6171.73046875</v>
      </c>
      <c r="F31" s="38">
        <f t="shared" si="2"/>
        <v>-4406.1095312500001</v>
      </c>
    </row>
    <row r="32" spans="1:13" x14ac:dyDescent="0.3">
      <c r="A32" t="s">
        <v>30</v>
      </c>
      <c r="B32">
        <v>1</v>
      </c>
      <c r="C32">
        <v>82.5</v>
      </c>
      <c r="D32" s="6">
        <v>4482.6499999999996</v>
      </c>
      <c r="E32" s="50">
        <v>5445.64453125</v>
      </c>
      <c r="F32" s="38">
        <f t="shared" si="2"/>
        <v>962.99453125000036</v>
      </c>
    </row>
    <row r="33" spans="1:9" x14ac:dyDescent="0.3">
      <c r="A33" t="s">
        <v>31</v>
      </c>
      <c r="B33">
        <v>2</v>
      </c>
      <c r="C33">
        <v>154</v>
      </c>
      <c r="D33" s="6">
        <v>19314</v>
      </c>
      <c r="E33" s="50">
        <v>20330.40625</v>
      </c>
      <c r="F33" s="38">
        <f t="shared" si="2"/>
        <v>1016.40625</v>
      </c>
      <c r="I33">
        <f>25000*25</f>
        <v>625000</v>
      </c>
    </row>
    <row r="34" spans="1:9" x14ac:dyDescent="0.3">
      <c r="A34" t="s">
        <v>32</v>
      </c>
      <c r="B34">
        <v>1</v>
      </c>
      <c r="C34">
        <v>44</v>
      </c>
      <c r="D34" s="6">
        <v>1541.18</v>
      </c>
      <c r="E34" s="50">
        <v>3041.28</v>
      </c>
      <c r="F34" s="38">
        <f t="shared" si="2"/>
        <v>1500.1000000000001</v>
      </c>
    </row>
    <row r="35" spans="1:9" x14ac:dyDescent="0.3">
      <c r="D35" s="38">
        <f>SUM(D25:D34)</f>
        <v>55062.93</v>
      </c>
      <c r="E35" s="38">
        <f>SUM(E25:E34)</f>
        <v>61491.197968749999</v>
      </c>
    </row>
    <row r="36" spans="1:9" x14ac:dyDescent="0.3">
      <c r="E36" s="38">
        <f>E35-D35</f>
        <v>6428.2679687499985</v>
      </c>
    </row>
  </sheetData>
  <pageMargins left="0.511811024" right="0.511811024" top="0.78740157499999996" bottom="0.78740157499999996" header="0.31496062000000002" footer="0.31496062000000002"/>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154881-50E5-49D5-96EF-2A6DD52FA2AB}">
  <dimension ref="A3:J41"/>
  <sheetViews>
    <sheetView workbookViewId="0">
      <selection activeCell="B22" sqref="B22"/>
    </sheetView>
  </sheetViews>
  <sheetFormatPr defaultRowHeight="14.4" x14ac:dyDescent="0.3"/>
  <cols>
    <col min="1" max="1" width="32.33203125" bestFit="1" customWidth="1"/>
    <col min="2" max="2" width="11.109375" customWidth="1"/>
    <col min="3" max="3" width="15" bestFit="1" customWidth="1"/>
    <col min="4" max="4" width="15.5546875" bestFit="1" customWidth="1"/>
    <col min="5" max="5" width="10.44140625" bestFit="1" customWidth="1"/>
    <col min="6" max="6" width="14.33203125" bestFit="1" customWidth="1"/>
    <col min="7" max="7" width="15.5546875" bestFit="1" customWidth="1"/>
    <col min="8" max="8" width="11.44140625" bestFit="1" customWidth="1"/>
    <col min="9" max="9" width="10.44140625" bestFit="1" customWidth="1"/>
    <col min="10" max="10" width="11.44140625" bestFit="1" customWidth="1"/>
  </cols>
  <sheetData>
    <row r="3" spans="1:8" x14ac:dyDescent="0.3">
      <c r="A3" s="199" t="s">
        <v>88</v>
      </c>
      <c r="B3" s="199"/>
      <c r="C3" s="199"/>
      <c r="D3" s="199"/>
      <c r="E3" s="199"/>
      <c r="F3" s="199"/>
      <c r="G3" s="199"/>
      <c r="H3" s="199"/>
    </row>
    <row r="4" spans="1:8" x14ac:dyDescent="0.3">
      <c r="A4" t="s">
        <v>86</v>
      </c>
      <c r="B4" s="37">
        <v>0.36</v>
      </c>
      <c r="C4" s="37"/>
    </row>
    <row r="5" spans="1:8" x14ac:dyDescent="0.3">
      <c r="B5" s="56" t="s">
        <v>85</v>
      </c>
      <c r="C5" s="56" t="s">
        <v>84</v>
      </c>
      <c r="D5" s="56" t="s">
        <v>83</v>
      </c>
    </row>
    <row r="6" spans="1:8" x14ac:dyDescent="0.3">
      <c r="A6" t="s">
        <v>82</v>
      </c>
      <c r="B6">
        <v>15</v>
      </c>
      <c r="C6" s="49">
        <f>B6*B4</f>
        <v>5.3999999999999995</v>
      </c>
      <c r="D6" s="45">
        <f>B6-C6</f>
        <v>9.6000000000000014</v>
      </c>
    </row>
    <row r="7" spans="1:8" ht="15" thickBot="1" x14ac:dyDescent="0.35">
      <c r="D7" s="45"/>
      <c r="E7" s="45"/>
    </row>
    <row r="8" spans="1:8" ht="15" thickBot="1" x14ac:dyDescent="0.35">
      <c r="A8" s="55" t="s">
        <v>81</v>
      </c>
      <c r="B8" s="54"/>
      <c r="C8" s="53">
        <v>1.65</v>
      </c>
      <c r="D8" s="6">
        <f>'Dados do Contrato  '!C4*'Dados Transporte  (2)'!C8</f>
        <v>29129.969880000001</v>
      </c>
      <c r="G8" s="45">
        <f>'[1]Dados do Contrato '!B5</f>
        <v>0</v>
      </c>
      <c r="H8" s="45">
        <f>C8*'[1]Dados do Contrato '!C4</f>
        <v>442186.50563999999</v>
      </c>
    </row>
    <row r="9" spans="1:8" x14ac:dyDescent="0.3">
      <c r="A9" t="s">
        <v>64</v>
      </c>
      <c r="B9" s="37">
        <v>0.1</v>
      </c>
      <c r="C9" s="6">
        <f>C8*B9</f>
        <v>0.16500000000000001</v>
      </c>
      <c r="D9" s="6">
        <f>C9*'Dados do Contrato  '!C4</f>
        <v>2912.9969880000003</v>
      </c>
      <c r="E9" s="45">
        <f>D7*B9</f>
        <v>0</v>
      </c>
      <c r="G9" s="45">
        <f>B9*'[1]Dados do Contrato '!B5</f>
        <v>0</v>
      </c>
      <c r="H9" s="45"/>
    </row>
    <row r="10" spans="1:8" x14ac:dyDescent="0.3">
      <c r="A10" t="s">
        <v>80</v>
      </c>
      <c r="B10" s="37">
        <v>0</v>
      </c>
      <c r="C10" s="6">
        <f>C8*B10</f>
        <v>0</v>
      </c>
      <c r="D10" s="6">
        <f>C10*'Dados do Contrato  '!C4</f>
        <v>0</v>
      </c>
      <c r="E10" s="45">
        <f>D7*B10</f>
        <v>0</v>
      </c>
      <c r="G10" s="45">
        <f>B10*'[1]Dados do Contrato '!B6</f>
        <v>0</v>
      </c>
      <c r="H10" s="45">
        <f>36-60</f>
        <v>-24</v>
      </c>
    </row>
    <row r="11" spans="1:8" x14ac:dyDescent="0.3">
      <c r="B11" s="37">
        <f>SUM(B9:B10)</f>
        <v>0.1</v>
      </c>
      <c r="C11" s="38">
        <f>SUM(C8:C10)</f>
        <v>1.8149999999999999</v>
      </c>
      <c r="D11" s="38">
        <f>SUM(D8:D10)</f>
        <v>32042.966868</v>
      </c>
      <c r="E11" s="45">
        <f>SUM(E9:E10,D7)</f>
        <v>0</v>
      </c>
      <c r="F11" s="6">
        <v>40362.81</v>
      </c>
      <c r="G11" s="45">
        <f>D11-F11</f>
        <v>-8319.8431319999981</v>
      </c>
    </row>
    <row r="12" spans="1:8" x14ac:dyDescent="0.3">
      <c r="D12">
        <f>D11/'Dados do Contrato  '!C4</f>
        <v>1.8149999999999999</v>
      </c>
      <c r="F12" s="38">
        <f>D11-F11</f>
        <v>-8319.8431319999981</v>
      </c>
      <c r="G12" s="6">
        <f>G11*C8</f>
        <v>-13727.741167799995</v>
      </c>
    </row>
    <row r="13" spans="1:8" x14ac:dyDescent="0.3">
      <c r="B13" s="38">
        <f>C8*B11</f>
        <v>0.16500000000000001</v>
      </c>
      <c r="F13" s="64">
        <f>F12/D11</f>
        <v>-0.25964646676674269</v>
      </c>
    </row>
    <row r="15" spans="1:8" x14ac:dyDescent="0.3">
      <c r="A15" s="199" t="s">
        <v>163</v>
      </c>
      <c r="B15" s="199"/>
      <c r="C15" s="199"/>
      <c r="D15" s="199"/>
      <c r="E15" s="199"/>
      <c r="F15" s="199"/>
      <c r="G15" s="199"/>
      <c r="H15" s="199"/>
    </row>
    <row r="16" spans="1:8" x14ac:dyDescent="0.3">
      <c r="A16" t="s">
        <v>86</v>
      </c>
      <c r="B16" s="37">
        <v>0.36</v>
      </c>
      <c r="C16" s="37"/>
    </row>
    <row r="17" spans="1:10" x14ac:dyDescent="0.3">
      <c r="B17" s="56" t="s">
        <v>85</v>
      </c>
      <c r="C17" s="56" t="s">
        <v>84</v>
      </c>
      <c r="D17" s="56" t="s">
        <v>83</v>
      </c>
      <c r="F17" s="6">
        <f>C23*D18</f>
        <v>420.00000000000006</v>
      </c>
      <c r="G17" s="38">
        <f>F17-F18</f>
        <v>120.00000000000006</v>
      </c>
    </row>
    <row r="18" spans="1:10" x14ac:dyDescent="0.3">
      <c r="A18" t="s">
        <v>82</v>
      </c>
      <c r="B18">
        <v>15</v>
      </c>
      <c r="C18" s="49">
        <f>B18*B16</f>
        <v>5.3999999999999995</v>
      </c>
      <c r="D18" s="45">
        <f>B18-C18</f>
        <v>9.6000000000000014</v>
      </c>
      <c r="F18" s="6">
        <v>300</v>
      </c>
      <c r="G18" t="s">
        <v>166</v>
      </c>
    </row>
    <row r="19" spans="1:10" ht="15" thickBot="1" x14ac:dyDescent="0.35">
      <c r="D19" s="45"/>
      <c r="E19" s="45"/>
      <c r="F19" s="45">
        <f>F18/D18</f>
        <v>31.249999999999996</v>
      </c>
    </row>
    <row r="20" spans="1:10" ht="15" thickBot="1" x14ac:dyDescent="0.35">
      <c r="A20" s="55" t="s">
        <v>81</v>
      </c>
      <c r="B20" s="54"/>
      <c r="C20" s="53">
        <f>F19</f>
        <v>31.249999999999996</v>
      </c>
      <c r="D20" s="6">
        <f>'Dados do Contrato  '!B13*'Dados Transporte  (2)'!C20</f>
        <v>124885.31249999999</v>
      </c>
      <c r="G20" s="45" t="str">
        <f>'[1]Dados do Contrato '!B17</f>
        <v>M³ In Situ</v>
      </c>
      <c r="H20" s="45">
        <f>C20*'[1]Dados do Contrato '!C16</f>
        <v>0</v>
      </c>
    </row>
    <row r="21" spans="1:10" x14ac:dyDescent="0.3">
      <c r="A21" t="s">
        <v>64</v>
      </c>
      <c r="B21" s="37">
        <v>0.1</v>
      </c>
      <c r="C21" s="6">
        <f>C20*B21</f>
        <v>3.125</v>
      </c>
      <c r="D21" s="6">
        <f>C21*'Dados do Contrato  '!B13</f>
        <v>12488.53125</v>
      </c>
      <c r="E21" s="45">
        <f>D19*B21</f>
        <v>0</v>
      </c>
      <c r="G21" s="45" t="e">
        <f>B21*'[1]Dados do Contrato '!B17</f>
        <v>#VALUE!</v>
      </c>
      <c r="H21" s="45"/>
    </row>
    <row r="22" spans="1:10" x14ac:dyDescent="0.3">
      <c r="A22" t="s">
        <v>80</v>
      </c>
      <c r="B22" s="37">
        <v>0.3</v>
      </c>
      <c r="C22" s="6">
        <f>C20*B22</f>
        <v>9.3749999999999982</v>
      </c>
      <c r="D22" s="6">
        <f>C22*'Dados do Contrato  '!B13</f>
        <v>37465.593749999993</v>
      </c>
      <c r="E22" s="45">
        <f>D19*B22</f>
        <v>0</v>
      </c>
      <c r="G22" s="45">
        <f>B22*'[1]Dados do Contrato '!B18</f>
        <v>68.421114583333321</v>
      </c>
      <c r="H22" s="45">
        <f>36-60</f>
        <v>-24</v>
      </c>
    </row>
    <row r="23" spans="1:10" x14ac:dyDescent="0.3">
      <c r="B23" s="37">
        <f>SUM(B21:B22)</f>
        <v>0.4</v>
      </c>
      <c r="C23" s="38">
        <f>SUM(C20:C22)</f>
        <v>43.75</v>
      </c>
      <c r="D23" s="38">
        <f>SUM(D20:D22)</f>
        <v>174839.4375</v>
      </c>
      <c r="E23" s="45">
        <f>SUM(E21:E22,D19)</f>
        <v>0</v>
      </c>
      <c r="F23" s="6">
        <v>40362.81</v>
      </c>
      <c r="G23" s="45">
        <f>D23-F23</f>
        <v>134476.6275</v>
      </c>
    </row>
    <row r="24" spans="1:10" x14ac:dyDescent="0.3">
      <c r="D24">
        <f>D23/'Dados do Contrato  '!B13</f>
        <v>43.75</v>
      </c>
      <c r="F24" s="38">
        <f>D23-F23</f>
        <v>134476.6275</v>
      </c>
      <c r="G24" s="6">
        <f>G23*C20</f>
        <v>4202394.609375</v>
      </c>
    </row>
    <row r="25" spans="1:10" x14ac:dyDescent="0.3">
      <c r="B25" s="38">
        <f>C20*B23</f>
        <v>12.5</v>
      </c>
      <c r="F25" s="64">
        <f>F24/D23</f>
        <v>0.76914356064546363</v>
      </c>
    </row>
    <row r="27" spans="1:10" x14ac:dyDescent="0.3">
      <c r="B27">
        <f>H10/'[1]Dados do Contrato '!C4</f>
        <v>-8.9554971702912581E-5</v>
      </c>
    </row>
    <row r="28" spans="1:10" x14ac:dyDescent="0.3">
      <c r="A28" s="199" t="s">
        <v>87</v>
      </c>
      <c r="B28" s="199"/>
      <c r="C28" s="199"/>
      <c r="D28" s="199"/>
      <c r="E28" s="199"/>
      <c r="F28" s="199"/>
      <c r="G28" s="199"/>
      <c r="H28" s="199"/>
    </row>
    <row r="29" spans="1:10" x14ac:dyDescent="0.3">
      <c r="A29" t="s">
        <v>86</v>
      </c>
      <c r="B29" s="37">
        <v>0.36</v>
      </c>
      <c r="C29" s="37"/>
    </row>
    <row r="30" spans="1:10" x14ac:dyDescent="0.3">
      <c r="B30" t="s">
        <v>85</v>
      </c>
      <c r="C30" t="s">
        <v>84</v>
      </c>
      <c r="D30" t="s">
        <v>83</v>
      </c>
    </row>
    <row r="31" spans="1:10" x14ac:dyDescent="0.3">
      <c r="A31" t="s">
        <v>82</v>
      </c>
      <c r="B31">
        <v>15</v>
      </c>
      <c r="C31" s="49">
        <f>B31*B29</f>
        <v>5.3999999999999995</v>
      </c>
      <c r="D31" s="45">
        <f>B31-C31</f>
        <v>9.6000000000000014</v>
      </c>
      <c r="F31" s="37">
        <v>0.3</v>
      </c>
      <c r="H31" s="45">
        <f>D32*F31</f>
        <v>5484.6660000000002</v>
      </c>
      <c r="I31" s="45">
        <f>SUM(D32,H31:H32)</f>
        <v>32907.995999999999</v>
      </c>
      <c r="J31" s="45"/>
    </row>
    <row r="32" spans="1:10" ht="15" thickBot="1" x14ac:dyDescent="0.35">
      <c r="D32" s="44">
        <v>18282.22</v>
      </c>
      <c r="F32" s="37">
        <v>0.5</v>
      </c>
      <c r="H32" s="45">
        <f>D32*F32</f>
        <v>9141.11</v>
      </c>
      <c r="J32" s="45">
        <f>D32*12</f>
        <v>219386.64</v>
      </c>
    </row>
    <row r="33" spans="1:10" ht="15" thickBot="1" x14ac:dyDescent="0.35">
      <c r="A33" s="55" t="s">
        <v>81</v>
      </c>
      <c r="B33" s="54"/>
      <c r="C33" s="53">
        <v>0</v>
      </c>
      <c r="D33" s="6">
        <f>C33*'[1]Dados do Contrato '!$B$6</f>
        <v>0</v>
      </c>
      <c r="G33" s="45">
        <f>'[1]Dados do Contrato '!$B$6</f>
        <v>0</v>
      </c>
      <c r="H33" s="45"/>
      <c r="J33" s="45">
        <f>J32*F32</f>
        <v>109693.32</v>
      </c>
    </row>
    <row r="34" spans="1:10" x14ac:dyDescent="0.3">
      <c r="A34" t="s">
        <v>64</v>
      </c>
      <c r="B34" s="37">
        <v>0.36</v>
      </c>
      <c r="C34" s="6">
        <f>C33*B34</f>
        <v>0</v>
      </c>
      <c r="D34" s="6">
        <f>C34*'[1]Dados do Contrato '!$B$6</f>
        <v>0</v>
      </c>
      <c r="G34" s="45">
        <f>B34*'[1]Dados do Contrato '!B6</f>
        <v>0</v>
      </c>
      <c r="H34" s="45"/>
      <c r="J34" s="45">
        <f>SUM(J32:J33)</f>
        <v>329079.96000000002</v>
      </c>
    </row>
    <row r="35" spans="1:10" x14ac:dyDescent="0.3">
      <c r="A35" t="s">
        <v>80</v>
      </c>
      <c r="B35" s="37">
        <v>0.14000000000000001</v>
      </c>
      <c r="C35" s="6">
        <f>C33*B35</f>
        <v>0</v>
      </c>
      <c r="D35" s="6">
        <f>C35*'[1]Dados do Contrato '!$B$6</f>
        <v>0</v>
      </c>
      <c r="G35" s="45">
        <f>B35*'[1]Dados do Contrato '!B6</f>
        <v>0</v>
      </c>
      <c r="H35" s="45"/>
      <c r="J35">
        <f>J34/D32</f>
        <v>18</v>
      </c>
    </row>
    <row r="36" spans="1:10" x14ac:dyDescent="0.3">
      <c r="B36" s="37">
        <f>SUM(B34:B35)</f>
        <v>0.5</v>
      </c>
      <c r="C36" s="38">
        <f>SUM(C33:C35)</f>
        <v>0</v>
      </c>
      <c r="D36" s="38">
        <f>SUM(D33:D35)</f>
        <v>0</v>
      </c>
      <c r="E36">
        <f>C36*D32</f>
        <v>0</v>
      </c>
      <c r="G36" s="45">
        <f>SUM(G33:G35)</f>
        <v>0</v>
      </c>
      <c r="J36">
        <f>J35*F31</f>
        <v>5.3999999999999995</v>
      </c>
    </row>
    <row r="37" spans="1:10" x14ac:dyDescent="0.3">
      <c r="D37">
        <f>D36/D32</f>
        <v>0</v>
      </c>
      <c r="G37" s="6">
        <f>G36*C33</f>
        <v>0</v>
      </c>
    </row>
    <row r="38" spans="1:10" x14ac:dyDescent="0.3">
      <c r="B38" s="38">
        <f>C33*B36</f>
        <v>0</v>
      </c>
    </row>
    <row r="41" spans="1:10" x14ac:dyDescent="0.3">
      <c r="B41">
        <f>36-80</f>
        <v>-44</v>
      </c>
    </row>
  </sheetData>
  <mergeCells count="3">
    <mergeCell ref="A3:H3"/>
    <mergeCell ref="A28:H28"/>
    <mergeCell ref="A15:H15"/>
  </mergeCells>
  <pageMargins left="0.511811024" right="0.511811024" top="0.78740157499999996" bottom="0.78740157499999996" header="0.31496062000000002" footer="0.3149606200000000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7ADAF0-B93A-4453-85FC-1F60766F61FB}">
  <dimension ref="A4:H14"/>
  <sheetViews>
    <sheetView workbookViewId="0">
      <selection activeCell="E5" sqref="E5:E14"/>
    </sheetView>
  </sheetViews>
  <sheetFormatPr defaultRowHeight="14.4" x14ac:dyDescent="0.3"/>
  <cols>
    <col min="1" max="1" width="17.88671875" bestFit="1" customWidth="1"/>
    <col min="2" max="3" width="6" customWidth="1"/>
    <col min="4" max="4" width="13.5546875" customWidth="1"/>
    <col min="5" max="5" width="11.33203125" customWidth="1"/>
    <col min="8" max="8" width="10.33203125" bestFit="1" customWidth="1"/>
  </cols>
  <sheetData>
    <row r="4" spans="1:8" ht="28.8" x14ac:dyDescent="0.3">
      <c r="B4" s="210" t="s">
        <v>65</v>
      </c>
      <c r="C4" s="210"/>
      <c r="D4" s="40" t="s">
        <v>33</v>
      </c>
      <c r="E4" s="40" t="s">
        <v>66</v>
      </c>
      <c r="F4" s="37"/>
    </row>
    <row r="5" spans="1:8" x14ac:dyDescent="0.3">
      <c r="A5" t="s">
        <v>24</v>
      </c>
      <c r="B5">
        <v>1</v>
      </c>
      <c r="C5">
        <v>1</v>
      </c>
      <c r="D5" s="2">
        <v>12</v>
      </c>
      <c r="E5" s="38">
        <f>D5*C5*'Dados do Contrato  '!$F$12</f>
        <v>66</v>
      </c>
    </row>
    <row r="6" spans="1:8" x14ac:dyDescent="0.3">
      <c r="A6" t="s">
        <v>25</v>
      </c>
      <c r="B6">
        <v>1</v>
      </c>
      <c r="C6">
        <v>1</v>
      </c>
      <c r="D6" s="2">
        <v>17</v>
      </c>
      <c r="E6" s="38">
        <f>D6*C6*'Dados do Contrato  '!$F$12</f>
        <v>93.5</v>
      </c>
    </row>
    <row r="7" spans="1:8" x14ac:dyDescent="0.3">
      <c r="A7" t="s">
        <v>26</v>
      </c>
      <c r="B7">
        <v>1</v>
      </c>
      <c r="C7">
        <v>1</v>
      </c>
      <c r="D7" s="2">
        <v>37</v>
      </c>
      <c r="E7" s="38">
        <f>D7*C7*'Dados do Contrato  '!$F$12</f>
        <v>203.5</v>
      </c>
    </row>
    <row r="8" spans="1:8" x14ac:dyDescent="0.3">
      <c r="A8" t="s">
        <v>27</v>
      </c>
      <c r="B8">
        <v>1</v>
      </c>
      <c r="C8">
        <v>1</v>
      </c>
      <c r="D8" s="2">
        <v>39</v>
      </c>
      <c r="E8" s="38">
        <f>D8*C8*'Dados do Contrato  '!$F$12</f>
        <v>214.5</v>
      </c>
    </row>
    <row r="9" spans="1:8" x14ac:dyDescent="0.3">
      <c r="A9" t="s">
        <v>28</v>
      </c>
      <c r="B9">
        <v>1</v>
      </c>
      <c r="C9">
        <v>1</v>
      </c>
      <c r="D9" s="2">
        <v>28</v>
      </c>
      <c r="E9" s="38">
        <f>D9*C9*'Dados do Contrato  '!$F$12</f>
        <v>154</v>
      </c>
      <c r="F9">
        <f>D9*$F$4</f>
        <v>0</v>
      </c>
      <c r="G9">
        <f>D9+F9</f>
        <v>28</v>
      </c>
      <c r="H9" s="38">
        <f>G9*'Dados do Contrato  '!F12</f>
        <v>154</v>
      </c>
    </row>
    <row r="10" spans="1:8" x14ac:dyDescent="0.3">
      <c r="A10" t="s">
        <v>13</v>
      </c>
      <c r="B10">
        <v>1</v>
      </c>
      <c r="C10">
        <v>1</v>
      </c>
      <c r="D10" s="2">
        <v>39</v>
      </c>
      <c r="E10" s="38">
        <f>D10*C10*'Dados do Contrato  '!$F$12</f>
        <v>214.5</v>
      </c>
      <c r="F10">
        <f>D10*$F$4</f>
        <v>0</v>
      </c>
      <c r="G10">
        <f>D10+F10</f>
        <v>39</v>
      </c>
    </row>
    <row r="11" spans="1:8" x14ac:dyDescent="0.3">
      <c r="A11" t="s">
        <v>29</v>
      </c>
      <c r="B11">
        <v>1</v>
      </c>
      <c r="C11">
        <v>1</v>
      </c>
      <c r="D11" s="2">
        <v>17</v>
      </c>
      <c r="E11" s="38">
        <f>D11*C11*'Dados do Contrato  '!$F$12</f>
        <v>93.5</v>
      </c>
    </row>
    <row r="12" spans="1:8" x14ac:dyDescent="0.3">
      <c r="A12" t="s">
        <v>30</v>
      </c>
      <c r="B12">
        <v>1</v>
      </c>
      <c r="C12">
        <v>1</v>
      </c>
      <c r="D12" s="2">
        <v>15</v>
      </c>
      <c r="E12" s="38">
        <f>D12*C12*'Dados do Contrato  '!$F$12</f>
        <v>82.5</v>
      </c>
    </row>
    <row r="13" spans="1:8" x14ac:dyDescent="0.3">
      <c r="A13" t="s">
        <v>31</v>
      </c>
      <c r="B13">
        <v>1</v>
      </c>
      <c r="C13">
        <v>1</v>
      </c>
      <c r="D13" s="2">
        <v>15</v>
      </c>
      <c r="E13" s="38">
        <f>D13*C13*'Dados do Contrato  '!$F$12</f>
        <v>82.5</v>
      </c>
    </row>
    <row r="14" spans="1:8" x14ac:dyDescent="0.3">
      <c r="A14" t="s">
        <v>32</v>
      </c>
      <c r="B14">
        <v>1</v>
      </c>
      <c r="C14">
        <v>1</v>
      </c>
      <c r="D14" s="2">
        <v>8</v>
      </c>
      <c r="E14" s="38">
        <f>D14*C14*'Dados do Contrato  '!$F$12</f>
        <v>44</v>
      </c>
    </row>
  </sheetData>
  <mergeCells count="1">
    <mergeCell ref="B4:C4"/>
  </mergeCells>
  <pageMargins left="0.511811024" right="0.511811024" top="0.78740157499999996" bottom="0.78740157499999996" header="0.31496062000000002" footer="0.3149606200000000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Planilhas</vt:lpstr>
      </vt:variant>
      <vt:variant>
        <vt:i4>7</vt:i4>
      </vt:variant>
      <vt:variant>
        <vt:lpstr>Intervalos Nomeados</vt:lpstr>
      </vt:variant>
      <vt:variant>
        <vt:i4>2</vt:i4>
      </vt:variant>
    </vt:vector>
  </HeadingPairs>
  <TitlesOfParts>
    <vt:vector size="9" baseType="lpstr">
      <vt:lpstr>Terraplenagem</vt:lpstr>
      <vt:lpstr>Terraplenagem (2)</vt:lpstr>
      <vt:lpstr>Dados do Contrato  </vt:lpstr>
      <vt:lpstr>COMPOSIÇÃO DE PREÇO</vt:lpstr>
      <vt:lpstr>CUSTOS EQUIPAMENTOS</vt:lpstr>
      <vt:lpstr>Dados Transporte  (2)</vt:lpstr>
      <vt:lpstr>MÉDIA CONSUMO </vt:lpstr>
      <vt:lpstr>Terraplenagem!Area_de_impressao</vt:lpstr>
      <vt:lpstr>'Terraplenagem (2)'!Area_de_impressao</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Luiz Angelo Pianzoli</dc:creator>
  <cp:lastModifiedBy>Luiz Angelo Pianzoli</cp:lastModifiedBy>
  <cp:lastPrinted>2026-03-31T19:21:57Z</cp:lastPrinted>
  <dcterms:created xsi:type="dcterms:W3CDTF">2025-10-23T16:20:25Z</dcterms:created>
  <dcterms:modified xsi:type="dcterms:W3CDTF">2026-04-29T16:36:48Z</dcterms:modified>
</cp:coreProperties>
</file>